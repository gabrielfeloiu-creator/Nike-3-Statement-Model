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34b829d65ee7dbb/Desktop/DCF Project/"/>
    </mc:Choice>
  </mc:AlternateContent>
  <xr:revisionPtr revIDLastSave="831" documentId="11_F25DC773A252ABDACC104829919866F65BDE58ED" xr6:coauthVersionLast="47" xr6:coauthVersionMax="47" xr10:uidLastSave="{AF6A838A-66D6-42C2-8DC3-D862EEF9BCC5}"/>
  <bookViews>
    <workbookView xWindow="-120" yWindow="-120" windowWidth="29040" windowHeight="15720" activeTab="4" xr2:uid="{00000000-000D-0000-FFFF-FFFF00000000}"/>
  </bookViews>
  <sheets>
    <sheet name="Raw Data" sheetId="1" r:id="rId1"/>
    <sheet name="IS (real)" sheetId="2" r:id="rId2"/>
    <sheet name="BS (real)" sheetId="3" r:id="rId3"/>
    <sheet name="CFS (real)" sheetId="4" r:id="rId4"/>
    <sheet name="Assumptions" sheetId="5" r:id="rId5"/>
    <sheet name="Sources" sheetId="6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/>
  <c r="E32" i="3"/>
  <c r="D32" i="3"/>
  <c r="F26" i="4"/>
  <c r="G26" i="4"/>
  <c r="H26" i="4"/>
  <c r="I26" i="4"/>
  <c r="E26" i="4"/>
  <c r="F31" i="4"/>
  <c r="G31" i="4"/>
  <c r="H31" i="4"/>
  <c r="I31" i="4"/>
  <c r="E31" i="4"/>
  <c r="I28" i="4"/>
  <c r="H28" i="4"/>
  <c r="G28" i="4"/>
  <c r="F28" i="4"/>
  <c r="E28" i="4"/>
  <c r="I27" i="4"/>
  <c r="H27" i="4"/>
  <c r="G27" i="4"/>
  <c r="F27" i="4"/>
  <c r="E27" i="4"/>
  <c r="I25" i="4"/>
  <c r="H25" i="4"/>
  <c r="G25" i="4"/>
  <c r="F25" i="4"/>
  <c r="E25" i="4"/>
  <c r="F20" i="4"/>
  <c r="G20" i="4"/>
  <c r="H20" i="4"/>
  <c r="I20" i="4"/>
  <c r="E20" i="4"/>
  <c r="F19" i="4"/>
  <c r="G19" i="4"/>
  <c r="H19" i="4"/>
  <c r="I19" i="4"/>
  <c r="E19" i="4"/>
  <c r="I18" i="4"/>
  <c r="H18" i="4"/>
  <c r="G18" i="4"/>
  <c r="F18" i="4"/>
  <c r="E18" i="4"/>
  <c r="I17" i="4"/>
  <c r="H17" i="4"/>
  <c r="G17" i="4"/>
  <c r="F17" i="4"/>
  <c r="E17" i="4"/>
  <c r="I16" i="4"/>
  <c r="H16" i="4"/>
  <c r="G16" i="4"/>
  <c r="F16" i="4"/>
  <c r="E16" i="4"/>
  <c r="F13" i="4"/>
  <c r="G13" i="4"/>
  <c r="H13" i="4"/>
  <c r="I13" i="4"/>
  <c r="E13" i="4"/>
  <c r="F12" i="4"/>
  <c r="G12" i="4"/>
  <c r="H12" i="4"/>
  <c r="I12" i="4"/>
  <c r="E12" i="4"/>
  <c r="F11" i="4"/>
  <c r="G11" i="4"/>
  <c r="H11" i="4"/>
  <c r="I11" i="4"/>
  <c r="E11" i="4"/>
  <c r="F10" i="4"/>
  <c r="G10" i="4"/>
  <c r="H10" i="4"/>
  <c r="I10" i="4"/>
  <c r="E10" i="4"/>
  <c r="F7" i="4"/>
  <c r="G7" i="4"/>
  <c r="H7" i="4"/>
  <c r="I7" i="4"/>
  <c r="E7" i="4"/>
  <c r="F6" i="4"/>
  <c r="G6" i="4"/>
  <c r="H6" i="4"/>
  <c r="I6" i="4"/>
  <c r="E6" i="4"/>
  <c r="F5" i="4"/>
  <c r="G5" i="4"/>
  <c r="H5" i="4"/>
  <c r="I5" i="4"/>
  <c r="E5" i="4"/>
  <c r="E31" i="3"/>
  <c r="F31" i="3"/>
  <c r="G31" i="3"/>
  <c r="H31" i="3"/>
  <c r="D31" i="3"/>
  <c r="E30" i="3"/>
  <c r="F30" i="3"/>
  <c r="G30" i="3"/>
  <c r="H30" i="3"/>
  <c r="D30" i="3"/>
  <c r="E29" i="3"/>
  <c r="F29" i="3"/>
  <c r="G29" i="3"/>
  <c r="H29" i="3"/>
  <c r="D29" i="3"/>
  <c r="E26" i="3"/>
  <c r="F26" i="3"/>
  <c r="G26" i="3"/>
  <c r="H26" i="3"/>
  <c r="D26" i="3"/>
  <c r="E25" i="3"/>
  <c r="F25" i="3"/>
  <c r="G25" i="3"/>
  <c r="H25" i="3"/>
  <c r="D25" i="3"/>
  <c r="E24" i="3"/>
  <c r="F24" i="3"/>
  <c r="G24" i="3"/>
  <c r="H24" i="3"/>
  <c r="D24" i="3"/>
  <c r="E22" i="3"/>
  <c r="F22" i="3"/>
  <c r="G22" i="3"/>
  <c r="H22" i="3"/>
  <c r="D22" i="3"/>
  <c r="E21" i="3"/>
  <c r="F21" i="3"/>
  <c r="G21" i="3"/>
  <c r="H21" i="3"/>
  <c r="D21" i="3"/>
  <c r="E20" i="3"/>
  <c r="F20" i="3"/>
  <c r="G20" i="3"/>
  <c r="H20" i="3"/>
  <c r="D20" i="3"/>
  <c r="H19" i="3"/>
  <c r="G19" i="3"/>
  <c r="F19" i="3"/>
  <c r="E19" i="3"/>
  <c r="D19" i="3"/>
  <c r="E18" i="3"/>
  <c r="F18" i="3"/>
  <c r="G18" i="3"/>
  <c r="H18" i="3"/>
  <c r="D18" i="3"/>
  <c r="E17" i="3"/>
  <c r="D17" i="3"/>
  <c r="E14" i="3"/>
  <c r="F14" i="3"/>
  <c r="G14" i="3"/>
  <c r="H14" i="3"/>
  <c r="D14" i="3"/>
  <c r="H13" i="3"/>
  <c r="G13" i="3"/>
  <c r="F13" i="3"/>
  <c r="E13" i="3"/>
  <c r="D13" i="3"/>
  <c r="E12" i="3"/>
  <c r="F12" i="3"/>
  <c r="G12" i="3"/>
  <c r="H12" i="3"/>
  <c r="D12" i="3"/>
  <c r="E11" i="3"/>
  <c r="F11" i="3"/>
  <c r="G11" i="3"/>
  <c r="H11" i="3"/>
  <c r="D11" i="3"/>
  <c r="E10" i="3"/>
  <c r="D10" i="3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B33" i="4"/>
  <c r="D31" i="4"/>
  <c r="C31" i="4"/>
  <c r="B31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29" i="4"/>
  <c r="C29" i="4"/>
  <c r="B29" i="4"/>
  <c r="C21" i="4"/>
  <c r="C34" i="3"/>
  <c r="C54" i="1"/>
  <c r="B33" i="3"/>
  <c r="B78" i="1"/>
  <c r="B79" i="1"/>
  <c r="C33" i="3"/>
  <c r="C27" i="3"/>
  <c r="B27" i="3"/>
  <c r="C23" i="3"/>
  <c r="B23" i="3"/>
  <c r="C32" i="3"/>
  <c r="B32" i="3"/>
  <c r="C31" i="3"/>
  <c r="C30" i="3"/>
  <c r="B30" i="3"/>
  <c r="C29" i="3"/>
  <c r="B29" i="3"/>
  <c r="C26" i="3"/>
  <c r="B26" i="3"/>
  <c r="C25" i="3"/>
  <c r="B25" i="3"/>
  <c r="C24" i="3"/>
  <c r="B24" i="3"/>
  <c r="C22" i="3"/>
  <c r="B22" i="3"/>
  <c r="C21" i="3"/>
  <c r="B21" i="3"/>
  <c r="C20" i="3"/>
  <c r="B20" i="3"/>
  <c r="C19" i="3"/>
  <c r="B19" i="3"/>
  <c r="C18" i="3"/>
  <c r="B18" i="3"/>
  <c r="C17" i="3"/>
  <c r="B17" i="3"/>
  <c r="B5" i="3"/>
  <c r="C5" i="3"/>
  <c r="B6" i="3"/>
  <c r="C6" i="3"/>
  <c r="B7" i="3"/>
  <c r="C7" i="3"/>
  <c r="B8" i="3"/>
  <c r="C8" i="3"/>
  <c r="B10" i="3"/>
  <c r="C10" i="3"/>
  <c r="B11" i="3"/>
  <c r="C11" i="3"/>
  <c r="B12" i="3"/>
  <c r="C12" i="3"/>
  <c r="B13" i="3"/>
  <c r="C13" i="3"/>
  <c r="B14" i="3"/>
  <c r="C14" i="3"/>
  <c r="C16" i="2"/>
  <c r="D16" i="2"/>
  <c r="B16" i="2"/>
  <c r="B4" i="2"/>
  <c r="C4" i="2"/>
  <c r="D4" i="2"/>
  <c r="B13" i="2"/>
  <c r="C13" i="2"/>
  <c r="D13" i="2"/>
  <c r="D11" i="2"/>
  <c r="C11" i="2"/>
  <c r="B11" i="2"/>
  <c r="D10" i="2"/>
  <c r="C10" i="2"/>
  <c r="B10" i="2"/>
  <c r="B6" i="2"/>
  <c r="C6" i="2"/>
  <c r="D6" i="2"/>
  <c r="B7" i="2"/>
  <c r="C7" i="2"/>
  <c r="D7" i="2"/>
  <c r="C3" i="2"/>
  <c r="D3" i="2"/>
  <c r="B3" i="2"/>
  <c r="F32" i="3" l="1"/>
  <c r="G32" i="3" s="1"/>
  <c r="H32" i="3" s="1"/>
  <c r="F33" i="3"/>
  <c r="I29" i="4"/>
  <c r="G29" i="4"/>
  <c r="H29" i="4"/>
  <c r="F29" i="4"/>
  <c r="E29" i="4"/>
  <c r="H21" i="4"/>
  <c r="G21" i="4"/>
  <c r="F21" i="4"/>
  <c r="I21" i="4"/>
  <c r="E21" i="4"/>
  <c r="E33" i="3"/>
  <c r="D33" i="3"/>
  <c r="E23" i="3"/>
  <c r="F17" i="3"/>
  <c r="E27" i="3"/>
  <c r="D23" i="3"/>
  <c r="F10" i="3"/>
  <c r="G10" i="3" s="1"/>
  <c r="H10" i="3" s="1"/>
  <c r="I11" i="2"/>
  <c r="H11" i="2"/>
  <c r="G11" i="2"/>
  <c r="F11" i="2"/>
  <c r="E11" i="2"/>
  <c r="I10" i="2"/>
  <c r="H10" i="2"/>
  <c r="G10" i="2"/>
  <c r="F10" i="2"/>
  <c r="E10" i="2"/>
  <c r="D4" i="5"/>
  <c r="C8" i="2"/>
  <c r="C5" i="2"/>
  <c r="B8" i="2"/>
  <c r="E3" i="2"/>
  <c r="C4" i="5"/>
  <c r="D5" i="2"/>
  <c r="D19" i="5"/>
  <c r="C19" i="5"/>
  <c r="D18" i="5"/>
  <c r="C18" i="5"/>
  <c r="D17" i="5"/>
  <c r="C17" i="5"/>
  <c r="D15" i="5"/>
  <c r="C15" i="5"/>
  <c r="B15" i="5"/>
  <c r="D14" i="5"/>
  <c r="C14" i="5"/>
  <c r="B14" i="5"/>
  <c r="D11" i="5"/>
  <c r="C11" i="5"/>
  <c r="B11" i="5"/>
  <c r="D10" i="5"/>
  <c r="C10" i="5"/>
  <c r="B10" i="5"/>
  <c r="D8" i="2"/>
  <c r="B5" i="2"/>
  <c r="D21" i="4"/>
  <c r="B21" i="4"/>
  <c r="B31" i="3"/>
  <c r="B34" i="3"/>
  <c r="H33" i="3" l="1"/>
  <c r="G33" i="3"/>
  <c r="E34" i="3"/>
  <c r="D27" i="3"/>
  <c r="D34" i="3" s="1"/>
  <c r="G17" i="3"/>
  <c r="F23" i="3"/>
  <c r="F27" i="3" s="1"/>
  <c r="F34" i="3" s="1"/>
  <c r="C9" i="2"/>
  <c r="C18" i="2"/>
  <c r="C6" i="5"/>
  <c r="F3" i="2"/>
  <c r="D9" i="2"/>
  <c r="D18" i="2"/>
  <c r="D6" i="5"/>
  <c r="I19" i="5"/>
  <c r="E19" i="5"/>
  <c r="F19" i="5"/>
  <c r="G19" i="5"/>
  <c r="H19" i="5"/>
  <c r="E18" i="5"/>
  <c r="F18" i="5"/>
  <c r="G18" i="5"/>
  <c r="H18" i="5"/>
  <c r="I18" i="5"/>
  <c r="E17" i="5"/>
  <c r="F17" i="5"/>
  <c r="G17" i="5"/>
  <c r="H17" i="5"/>
  <c r="I17" i="5"/>
  <c r="E15" i="5"/>
  <c r="G15" i="5"/>
  <c r="H15" i="5"/>
  <c r="F15" i="5"/>
  <c r="I15" i="5"/>
  <c r="E14" i="5"/>
  <c r="F14" i="5"/>
  <c r="G14" i="5"/>
  <c r="H14" i="5"/>
  <c r="I14" i="5"/>
  <c r="E11" i="5"/>
  <c r="F11" i="5"/>
  <c r="G11" i="5"/>
  <c r="H11" i="5"/>
  <c r="I11" i="5"/>
  <c r="E10" i="5"/>
  <c r="F10" i="5"/>
  <c r="G10" i="5"/>
  <c r="H10" i="5"/>
  <c r="I10" i="5"/>
  <c r="B9" i="2"/>
  <c r="B18" i="2"/>
  <c r="B6" i="5"/>
  <c r="H17" i="3" l="1"/>
  <c r="H23" i="3" s="1"/>
  <c r="H27" i="3" s="1"/>
  <c r="H34" i="3" s="1"/>
  <c r="G23" i="3"/>
  <c r="G27" i="3" s="1"/>
  <c r="G34" i="3" s="1"/>
  <c r="C17" i="2"/>
  <c r="C20" i="2" s="1"/>
  <c r="C12" i="2"/>
  <c r="C19" i="2"/>
  <c r="C7" i="5"/>
  <c r="G3" i="2"/>
  <c r="F6" i="2"/>
  <c r="F7" i="2"/>
  <c r="F16" i="2"/>
  <c r="D17" i="2"/>
  <c r="D20" i="2" s="1"/>
  <c r="D12" i="2"/>
  <c r="D19" i="2"/>
  <c r="D7" i="5"/>
  <c r="B17" i="2"/>
  <c r="B20" i="2" s="1"/>
  <c r="B12" i="2"/>
  <c r="B19" i="2"/>
  <c r="B7" i="5"/>
  <c r="E6" i="5"/>
  <c r="E4" i="2" s="1"/>
  <c r="F6" i="5"/>
  <c r="G6" i="5"/>
  <c r="H6" i="5"/>
  <c r="I6" i="5"/>
  <c r="E6" i="2"/>
  <c r="E7" i="2"/>
  <c r="E16" i="2"/>
  <c r="C12" i="5" l="1"/>
  <c r="C14" i="2"/>
  <c r="H3" i="2"/>
  <c r="G4" i="2"/>
  <c r="G6" i="2"/>
  <c r="G7" i="2"/>
  <c r="G16" i="2"/>
  <c r="D12" i="5"/>
  <c r="D14" i="2"/>
  <c r="B12" i="5"/>
  <c r="B14" i="2"/>
  <c r="E8" i="2"/>
  <c r="E5" i="2"/>
  <c r="F8" i="2"/>
  <c r="F4" i="2"/>
  <c r="F5" i="2" s="1"/>
  <c r="C21" i="2" l="1"/>
  <c r="C4" i="4"/>
  <c r="C14" i="4" s="1"/>
  <c r="C32" i="4" s="1"/>
  <c r="C8" i="5"/>
  <c r="I3" i="2"/>
  <c r="H4" i="2"/>
  <c r="H6" i="2"/>
  <c r="H7" i="2"/>
  <c r="H16" i="2"/>
  <c r="D4" i="4"/>
  <c r="D32" i="4" s="1"/>
  <c r="D8" i="5"/>
  <c r="D21" i="2"/>
  <c r="I12" i="5"/>
  <c r="H12" i="5"/>
  <c r="F12" i="5"/>
  <c r="E12" i="5"/>
  <c r="G12" i="5"/>
  <c r="B21" i="2"/>
  <c r="B4" i="4"/>
  <c r="B14" i="4" s="1"/>
  <c r="B32" i="4" s="1"/>
  <c r="B34" i="4" s="1"/>
  <c r="C33" i="4" s="1"/>
  <c r="B8" i="5"/>
  <c r="E9" i="2"/>
  <c r="E18" i="2"/>
  <c r="F9" i="2"/>
  <c r="F18" i="2"/>
  <c r="G5" i="2"/>
  <c r="G8" i="2"/>
  <c r="I4" i="2" l="1"/>
  <c r="I6" i="2"/>
  <c r="I7" i="2"/>
  <c r="I16" i="2"/>
  <c r="E17" i="2"/>
  <c r="E20" i="2" s="1"/>
  <c r="E19" i="2"/>
  <c r="E12" i="2"/>
  <c r="F17" i="2"/>
  <c r="F20" i="2" s="1"/>
  <c r="F19" i="2"/>
  <c r="F12" i="2"/>
  <c r="G18" i="2"/>
  <c r="G9" i="2"/>
  <c r="H5" i="2"/>
  <c r="H8" i="2"/>
  <c r="C34" i="4"/>
  <c r="I8" i="2" l="1"/>
  <c r="E13" i="2"/>
  <c r="E14" i="2"/>
  <c r="F13" i="2"/>
  <c r="F14" i="2"/>
  <c r="G12" i="2"/>
  <c r="G19" i="2"/>
  <c r="G17" i="2"/>
  <c r="G20" i="2" s="1"/>
  <c r="H18" i="2"/>
  <c r="H9" i="2"/>
  <c r="D33" i="4"/>
  <c r="D34" i="4" s="1"/>
  <c r="B4" i="3"/>
  <c r="B9" i="3" s="1"/>
  <c r="B15" i="3" s="1"/>
  <c r="B36" i="3" s="1"/>
  <c r="I5" i="2"/>
  <c r="E21" i="2" l="1"/>
  <c r="E4" i="4"/>
  <c r="E14" i="4" s="1"/>
  <c r="E32" i="4" s="1"/>
  <c r="F4" i="4"/>
  <c r="F14" i="4" s="1"/>
  <c r="F32" i="4" s="1"/>
  <c r="F21" i="2"/>
  <c r="G13" i="2"/>
  <c r="G14" i="2"/>
  <c r="H19" i="2"/>
  <c r="H17" i="2"/>
  <c r="H20" i="2" s="1"/>
  <c r="H12" i="2"/>
  <c r="E33" i="4"/>
  <c r="C4" i="3"/>
  <c r="C9" i="3" s="1"/>
  <c r="C15" i="3" s="1"/>
  <c r="C36" i="3" s="1"/>
  <c r="I9" i="2"/>
  <c r="I18" i="2"/>
  <c r="E34" i="4" l="1"/>
  <c r="D4" i="3" s="1"/>
  <c r="G4" i="4"/>
  <c r="G14" i="4" s="1"/>
  <c r="G32" i="4" s="1"/>
  <c r="G21" i="2"/>
  <c r="H13" i="2"/>
  <c r="I17" i="2"/>
  <c r="I20" i="2" s="1"/>
  <c r="I19" i="2"/>
  <c r="I12" i="2"/>
  <c r="F33" i="4" l="1"/>
  <c r="F34" i="4" s="1"/>
  <c r="I13" i="2"/>
  <c r="H14" i="2"/>
  <c r="G33" i="4" l="1"/>
  <c r="G34" i="4" s="1"/>
  <c r="E4" i="3"/>
  <c r="H21" i="2"/>
  <c r="H4" i="4"/>
  <c r="H14" i="4" s="1"/>
  <c r="H32" i="4" s="1"/>
  <c r="I14" i="2"/>
  <c r="F4" i="3" l="1"/>
  <c r="H33" i="4"/>
  <c r="I21" i="2"/>
  <c r="I4" i="4"/>
  <c r="I14" i="4" s="1"/>
  <c r="I32" i="4" s="1"/>
  <c r="H34" i="4" l="1"/>
  <c r="G4" i="3" l="1"/>
  <c r="I33" i="4"/>
  <c r="I34" i="4" s="1"/>
  <c r="H4" i="3" s="1"/>
  <c r="D5" i="3" l="1"/>
  <c r="E5" i="3"/>
  <c r="F5" i="3"/>
  <c r="G5" i="3"/>
  <c r="H5" i="3"/>
  <c r="D9" i="3"/>
  <c r="E9" i="3"/>
  <c r="F9" i="3"/>
  <c r="G9" i="3"/>
  <c r="H9" i="3"/>
  <c r="D15" i="3"/>
  <c r="E15" i="3"/>
  <c r="F15" i="3"/>
  <c r="G15" i="3"/>
  <c r="H15" i="3"/>
  <c r="D36" i="3"/>
  <c r="E36" i="3"/>
  <c r="F36" i="3"/>
  <c r="G36" i="3"/>
  <c r="H36" i="3"/>
  <c r="D44" i="3"/>
  <c r="E44" i="3"/>
  <c r="F44" i="3"/>
  <c r="G44" i="3"/>
  <c r="H44" i="3"/>
</calcChain>
</file>

<file path=xl/sharedStrings.xml><?xml version="1.0" encoding="utf-8"?>
<sst xmlns="http://schemas.openxmlformats.org/spreadsheetml/2006/main" count="244" uniqueCount="135">
  <si>
    <t>Revenues</t>
  </si>
  <si>
    <t>Income Statement</t>
  </si>
  <si>
    <t>ASSETS</t>
  </si>
  <si>
    <t>Inventories</t>
  </si>
  <si>
    <t>Goodwill</t>
  </si>
  <si>
    <t>Cost of Sales</t>
  </si>
  <si>
    <t>Gross Profit</t>
  </si>
  <si>
    <t>Demand Creation Expense</t>
  </si>
  <si>
    <t>Operating Overhead Expense</t>
  </si>
  <si>
    <t>EBIT</t>
  </si>
  <si>
    <t>EBT</t>
  </si>
  <si>
    <t>Net Income</t>
  </si>
  <si>
    <t>INCOME STATEMENT</t>
  </si>
  <si>
    <t>Total SG&amp;A</t>
  </si>
  <si>
    <t>Interest Expense (Income), net</t>
  </si>
  <si>
    <t>Other (Income) Expense, net</t>
  </si>
  <si>
    <t>Income Tax Expense</t>
  </si>
  <si>
    <t>Diluted EPS</t>
  </si>
  <si>
    <t>Diluted Shares Outstanding</t>
  </si>
  <si>
    <t>CASH FLOW STATEMENT</t>
  </si>
  <si>
    <t>D&amp;A</t>
  </si>
  <si>
    <t>Deferred Income Taxes</t>
  </si>
  <si>
    <t>Stock-Based Compensation</t>
  </si>
  <si>
    <t>Impairment and Other</t>
  </si>
  <si>
    <t>Net Foreign Currency Adjustments</t>
  </si>
  <si>
    <t>Change in AR</t>
  </si>
  <si>
    <t>Change in Inventories</t>
  </si>
  <si>
    <t>Change in Prepaid/Other</t>
  </si>
  <si>
    <t>Change in AP/Accrued Liabilities</t>
  </si>
  <si>
    <t>Cash from Operations</t>
  </si>
  <si>
    <t>Purchases of Short-Term Investments</t>
  </si>
  <si>
    <t>Maturities of Short-Term Investments</t>
  </si>
  <si>
    <t>Sales of Short-Term Investments</t>
  </si>
  <si>
    <t>Capex</t>
  </si>
  <si>
    <t>Other Investing</t>
  </si>
  <si>
    <t>Cash from Investing</t>
  </si>
  <si>
    <t>Repayment of Borrowings</t>
  </si>
  <si>
    <t>—</t>
  </si>
  <si>
    <t>Stock Option Proceeds</t>
  </si>
  <si>
    <t>Share Repurchases</t>
  </si>
  <si>
    <t>Dividends</t>
  </si>
  <si>
    <t>Other Financing</t>
  </si>
  <si>
    <t>Cash from Financing</t>
  </si>
  <si>
    <t>FX Effect on Cash</t>
  </si>
  <si>
    <t>Net Change in Cash</t>
  </si>
  <si>
    <t>Beginning Cash</t>
  </si>
  <si>
    <t>Ending Cash</t>
  </si>
  <si>
    <t>BALANCE SHEET</t>
  </si>
  <si>
    <t>Cash &amp; Equivalents</t>
  </si>
  <si>
    <t>Short-Term Investments</t>
  </si>
  <si>
    <t>Accounts Receivable</t>
  </si>
  <si>
    <t>Total Current Assets</t>
  </si>
  <si>
    <t>PP&amp;E, net</t>
  </si>
  <si>
    <t>Total Assets</t>
  </si>
  <si>
    <t>Accounts Payable</t>
  </si>
  <si>
    <t>Long-Term Debt</t>
  </si>
  <si>
    <t>Total Shareholders' Equity</t>
  </si>
  <si>
    <t>Total Liabilities &amp; Equity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</si>
  <si>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</si>
  <si>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</si>
  <si>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</si>
  <si>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</si>
  <si>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</si>
  <si>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</si>
  <si>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</si>
  <si>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</si>
  <si>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Cost Of Sales</t>
  </si>
  <si>
    <t>Memo: D&amp;A</t>
  </si>
  <si>
    <t>Memo: EBITDA</t>
  </si>
  <si>
    <t>Gross Margin %</t>
  </si>
  <si>
    <t>EBIT Margin %</t>
  </si>
  <si>
    <t>EBITDA Margin %</t>
  </si>
  <si>
    <t>Net Margin %</t>
  </si>
  <si>
    <t>Balance Sheet</t>
  </si>
  <si>
    <t>Prepaid Expenses &amp; Other</t>
  </si>
  <si>
    <t>Operating Lease Right-of-Use Assets</t>
  </si>
  <si>
    <t>Intangible Assets, net</t>
  </si>
  <si>
    <t>Deferred Income Taxes &amp; Other</t>
  </si>
  <si>
    <t>LIABILITIES</t>
  </si>
  <si>
    <t>Current Portion of Long-Term Debt</t>
  </si>
  <si>
    <t>Notes Payable</t>
  </si>
  <si>
    <t>Current Portion of Operating Lease Liabilities</t>
  </si>
  <si>
    <t>Accrued Liabilities</t>
  </si>
  <si>
    <t>Income Taxes Payable</t>
  </si>
  <si>
    <t>Total Current Liabilities</t>
  </si>
  <si>
    <t>Operating Lease Liabilities</t>
  </si>
  <si>
    <t>Total Liabilities</t>
  </si>
  <si>
    <t>EQUITY</t>
  </si>
  <si>
    <t>Common Stock</t>
  </si>
  <si>
    <t>Capital in Excess of States Value</t>
  </si>
  <si>
    <t>Accumulated Other Comprehensive Income (Loss)</t>
  </si>
  <si>
    <t>Retained Earnings (Deficit)</t>
  </si>
  <si>
    <t>Total Shareholders Equity</t>
  </si>
  <si>
    <t>Balance Check</t>
  </si>
  <si>
    <t>Identifiable Intangible Assets</t>
  </si>
  <si>
    <t>Deferred Income Taxes &amp; Other Assets</t>
  </si>
  <si>
    <t>Current Portion of LT Debt</t>
  </si>
  <si>
    <t>Deferred Income Taxes &amp; Other Liabilities</t>
  </si>
  <si>
    <t>Class A Common Stock</t>
  </si>
  <si>
    <t>Class B Common Stock</t>
  </si>
  <si>
    <t>Capital in Excess of Stated Value</t>
  </si>
  <si>
    <t>Accumulated OCI (Loss)</t>
  </si>
  <si>
    <t>Cash Flow Statement</t>
  </si>
  <si>
    <t>Increase in Notes Payable</t>
  </si>
  <si>
    <t>OPERATING ACTIVITIES</t>
  </si>
  <si>
    <t>INVESTING ACTIVITIES</t>
  </si>
  <si>
    <t>FINANCING ACTIVITIES</t>
  </si>
  <si>
    <t>Cash From Financing</t>
  </si>
  <si>
    <t>RECONCILIATION</t>
  </si>
  <si>
    <t>Assumptions</t>
  </si>
  <si>
    <t>GROWTH</t>
  </si>
  <si>
    <t>MARGINS</t>
  </si>
  <si>
    <t>COST DRIVERS</t>
  </si>
  <si>
    <t>Demand Creation as % of Revenue</t>
  </si>
  <si>
    <t>Operating Overhead as % of Revenue</t>
  </si>
  <si>
    <t>Effective Tax Rate %</t>
  </si>
  <si>
    <t>CASH FLOW DRIVERS</t>
  </si>
  <si>
    <t>D&amp;A as % of Revenue</t>
  </si>
  <si>
    <t>Capex as % of Revenue</t>
  </si>
  <si>
    <t>BALANCE SHEET DRIVERS</t>
  </si>
  <si>
    <t>Accounts Receivable as % of Revenue</t>
  </si>
  <si>
    <t>Inventories as % of Revenue</t>
  </si>
  <si>
    <t>Accounts Payable as % of Revenue</t>
  </si>
  <si>
    <t>Revenue Growth Rate %</t>
  </si>
  <si>
    <t>URL</t>
  </si>
  <si>
    <t>Source Name</t>
  </si>
  <si>
    <t>Yahoo Finance Analyst Consensus</t>
  </si>
  <si>
    <t>Finbox</t>
  </si>
  <si>
    <t>SEC EDGAR Nike 10k FY2025</t>
  </si>
  <si>
    <t>Nike Q4 FY2025 Earnings Call Transcript</t>
  </si>
  <si>
    <t>https://finbox.com/NYSE:NKE/explorer/revenue_proj_growth/</t>
  </si>
  <si>
    <t>https://ca.finance.yahoo.com/quote/NKE/analysis/</t>
  </si>
  <si>
    <t>sec.gov/edgar</t>
  </si>
  <si>
    <t>https://seekingalpha.com/news/4571029-nike-anticipates-q4-revenue-down-2-percent-to-4-percent-as-it-targets-finishing-win-now</t>
  </si>
  <si>
    <t>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</si>
</sst>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,##0;\ \(#,##0\)"/>
    <numFmt numFmtId="169" formatCode="#,##0.00;\ \(#,##0.00\)"/>
    <numFmt numFmtId="170" formatCode="#,##0;\(#,##0\)"/>
    <numFmt numFmtId="171" formatCode="[$-1009]mmmm\ 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68" fontId="0" fillId="0" borderId="0" xfId="0" applyNumberFormat="1"/>
    <xf numFmtId="16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170" fontId="0" fillId="0" borderId="0" xfId="0" applyNumberFormat="1"/>
    <xf numFmtId="168" fontId="1" fillId="0" borderId="1" xfId="0" applyNumberFormat="1" applyFont="1" applyBorder="1"/>
    <xf numFmtId="168" fontId="3" fillId="0" borderId="1" xfId="0" applyNumberFormat="1" applyFont="1" applyBorder="1"/>
    <xf numFmtId="168" fontId="3" fillId="0" borderId="3" xfId="0" applyNumberFormat="1" applyFont="1" applyBorder="1"/>
    <xf numFmtId="168" fontId="3" fillId="0" borderId="0" xfId="0" applyNumberFormat="1" applyFont="1"/>
    <xf numFmtId="10" fontId="0" fillId="0" borderId="0" xfId="0" applyNumberForma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 indent="1"/>
    </xf>
    <xf numFmtId="170" fontId="1" fillId="0" borderId="1" xfId="0" applyNumberFormat="1" applyFont="1" applyBorder="1"/>
    <xf numFmtId="170" fontId="2" fillId="0" borderId="0" xfId="0" applyNumberFormat="1" applyFon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170" fontId="4" fillId="0" borderId="0" xfId="0" applyNumberFormat="1" applyFont="1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 indent="1"/>
    </xf>
    <xf numFmtId="10" fontId="0" fillId="0" borderId="1" xfId="0" applyNumberFormat="1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168" fontId="2" fillId="0" borderId="7" xfId="0" applyNumberFormat="1" applyFont="1" applyBorder="1"/>
    <xf numFmtId="168" fontId="2" fillId="0" borderId="0" xfId="0" applyNumberFormat="1" applyFont="1" applyBorder="1"/>
    <xf numFmtId="168" fontId="3" fillId="0" borderId="0" xfId="0" applyNumberFormat="1" applyFont="1" applyBorder="1"/>
    <xf numFmtId="168" fontId="0" fillId="0" borderId="0" xfId="0" applyNumberFormat="1" applyBorder="1"/>
    <xf numFmtId="10" fontId="0" fillId="0" borderId="0" xfId="0" applyNumberFormat="1" applyBorder="1"/>
    <xf numFmtId="168" fontId="2" fillId="0" borderId="4" xfId="0" applyNumberFormat="1" applyFont="1" applyBorder="1"/>
    <xf numFmtId="168" fontId="2" fillId="0" borderId="5" xfId="0" applyNumberFormat="1" applyFont="1" applyBorder="1"/>
    <xf numFmtId="168" fontId="3" fillId="0" borderId="2" xfId="0" applyNumberFormat="1" applyFont="1" applyBorder="1"/>
    <xf numFmtId="168" fontId="3" fillId="0" borderId="10" xfId="0" applyNumberFormat="1" applyFont="1" applyBorder="1"/>
    <xf numFmtId="168" fontId="3" fillId="0" borderId="5" xfId="0" applyNumberFormat="1" applyFont="1" applyBorder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5" borderId="1" xfId="0" applyFont="1" applyFill="1" applyBorder="1"/>
    <xf numFmtId="170" fontId="2" fillId="0" borderId="5" xfId="0" applyNumberFormat="1" applyFont="1" applyBorder="1"/>
    <xf numFmtId="170" fontId="1" fillId="0" borderId="2" xfId="0" applyNumberFormat="1" applyFont="1" applyBorder="1"/>
    <xf numFmtId="170" fontId="0" fillId="0" borderId="5" xfId="0" applyNumberFormat="1" applyBorder="1"/>
    <xf numFmtId="170" fontId="4" fillId="0" borderId="5" xfId="0" applyNumberFormat="1" applyFont="1" applyBorder="1"/>
    <xf numFmtId="170" fontId="0" fillId="0" borderId="4" xfId="0" applyNumberFormat="1" applyBorder="1"/>
    <xf numFmtId="171" fontId="1" fillId="3" borderId="1" xfId="0" applyNumberFormat="1" applyFont="1" applyFill="1" applyBorder="1"/>
    <xf numFmtId="0" fontId="1" fillId="6" borderId="1" xfId="0" applyFont="1" applyFill="1" applyBorder="1"/>
    <xf numFmtId="171" fontId="1" fillId="6" borderId="1" xfId="0" applyNumberFormat="1" applyFont="1" applyFill="1" applyBorder="1"/>
    <xf numFmtId="0" fontId="1" fillId="6" borderId="2" xfId="0" applyFont="1" applyFill="1" applyBorder="1"/>
  </cellXfs>
  <cellStyles count="1">
    <cellStyle name="Normal" xfId="0" builtinId="0"/>
  </cellStyles>
  <dxfs count="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showGridLines="0" topLeftCell="A17" workbookViewId="0">
      <selection activeCell="D32" sqref="D32"/>
    </sheetView>
  </sheetViews>
  <sheetFormatPr defaultRowHeight="15" x14ac:dyDescent="0.25"/>
  <cols>
    <col min="1" max="1" width="40.7109375" customWidth="1"/>
    <col min="2" max="4" width="9.5703125" bestFit="1" customWidth="1"/>
  </cols>
  <sheetData>
    <row r="1" spans="1:4" x14ac:dyDescent="0.25">
      <c r="A1" s="2"/>
      <c r="B1" s="2"/>
      <c r="C1" s="2"/>
      <c r="D1" s="2"/>
    </row>
    <row r="2" spans="1:4" x14ac:dyDescent="0.25">
      <c r="A2" s="3" t="s">
        <v>12</v>
      </c>
    </row>
    <row r="4" spans="1:4" x14ac:dyDescent="0.25">
      <c r="A4" s="4"/>
      <c r="B4" s="19">
        <v>2023</v>
      </c>
      <c r="C4" s="19">
        <v>2024</v>
      </c>
      <c r="D4" s="19">
        <v>2025</v>
      </c>
    </row>
    <row r="5" spans="1:4" x14ac:dyDescent="0.25">
      <c r="A5" s="5" t="s">
        <v>0</v>
      </c>
      <c r="B5" s="20">
        <v>51217</v>
      </c>
      <c r="C5" s="20">
        <v>51362</v>
      </c>
      <c r="D5" s="20">
        <v>46309</v>
      </c>
    </row>
    <row r="6" spans="1:4" x14ac:dyDescent="0.25">
      <c r="A6" s="5" t="s">
        <v>5</v>
      </c>
      <c r="B6" s="20">
        <v>28925</v>
      </c>
      <c r="C6" s="20">
        <v>28475</v>
      </c>
      <c r="D6" s="20">
        <v>26519</v>
      </c>
    </row>
    <row r="7" spans="1:4" x14ac:dyDescent="0.25">
      <c r="A7" s="5" t="s">
        <v>6</v>
      </c>
      <c r="B7" s="20">
        <v>22292</v>
      </c>
      <c r="C7" s="20">
        <v>22887</v>
      </c>
      <c r="D7" s="20">
        <v>19790</v>
      </c>
    </row>
    <row r="8" spans="1:4" x14ac:dyDescent="0.25">
      <c r="A8" s="5" t="s">
        <v>7</v>
      </c>
      <c r="B8" s="20">
        <v>4060</v>
      </c>
      <c r="C8" s="20">
        <v>4285</v>
      </c>
      <c r="D8" s="20">
        <v>4689</v>
      </c>
    </row>
    <row r="9" spans="1:4" x14ac:dyDescent="0.25">
      <c r="A9" s="5" t="s">
        <v>8</v>
      </c>
      <c r="B9" s="20">
        <v>12317</v>
      </c>
      <c r="C9" s="20">
        <v>12291</v>
      </c>
      <c r="D9" s="20">
        <v>11399</v>
      </c>
    </row>
    <row r="10" spans="1:4" x14ac:dyDescent="0.25">
      <c r="A10" s="5" t="s">
        <v>13</v>
      </c>
      <c r="B10" s="20">
        <v>16377</v>
      </c>
      <c r="C10" s="20">
        <v>16576</v>
      </c>
      <c r="D10" s="20">
        <v>16088</v>
      </c>
    </row>
    <row r="11" spans="1:4" x14ac:dyDescent="0.25">
      <c r="A11" s="5" t="s">
        <v>14</v>
      </c>
      <c r="B11" s="20">
        <v>-6</v>
      </c>
      <c r="C11" s="20">
        <v>-161</v>
      </c>
      <c r="D11" s="20">
        <v>-107</v>
      </c>
    </row>
    <row r="12" spans="1:4" x14ac:dyDescent="0.25">
      <c r="A12" s="5" t="s">
        <v>15</v>
      </c>
      <c r="B12" s="20">
        <v>-280</v>
      </c>
      <c r="C12" s="20">
        <v>-228</v>
      </c>
      <c r="D12" s="20">
        <v>-76</v>
      </c>
    </row>
    <row r="13" spans="1:4" x14ac:dyDescent="0.25">
      <c r="A13" s="5" t="s">
        <v>10</v>
      </c>
      <c r="B13" s="20">
        <v>6201</v>
      </c>
      <c r="C13" s="20">
        <v>6700</v>
      </c>
      <c r="D13" s="20">
        <v>3885</v>
      </c>
    </row>
    <row r="14" spans="1:4" x14ac:dyDescent="0.25">
      <c r="A14" s="5" t="s">
        <v>16</v>
      </c>
      <c r="B14" s="20">
        <v>1131</v>
      </c>
      <c r="C14" s="20">
        <v>1000</v>
      </c>
      <c r="D14" s="20">
        <v>666</v>
      </c>
    </row>
    <row r="15" spans="1:4" x14ac:dyDescent="0.25">
      <c r="A15" s="5" t="s">
        <v>11</v>
      </c>
      <c r="B15" s="20">
        <v>5070</v>
      </c>
      <c r="C15" s="20">
        <v>5700</v>
      </c>
      <c r="D15" s="20">
        <v>3219</v>
      </c>
    </row>
    <row r="16" spans="1:4" x14ac:dyDescent="0.25">
      <c r="A16" s="5" t="s">
        <v>17</v>
      </c>
      <c r="B16" s="20">
        <v>3.23</v>
      </c>
      <c r="C16" s="20">
        <v>3.73</v>
      </c>
      <c r="D16" s="20">
        <v>2.16</v>
      </c>
    </row>
    <row r="17" spans="1:5" x14ac:dyDescent="0.25">
      <c r="A17" s="5" t="s">
        <v>18</v>
      </c>
      <c r="B17" s="20">
        <v>1569.8</v>
      </c>
      <c r="C17" s="20">
        <v>1529.7</v>
      </c>
      <c r="D17" s="20">
        <v>1487.6</v>
      </c>
    </row>
    <row r="18" spans="1:5" x14ac:dyDescent="0.25">
      <c r="A18" s="2"/>
      <c r="B18" s="21"/>
      <c r="C18" s="21"/>
      <c r="D18" s="21"/>
    </row>
    <row r="19" spans="1:5" x14ac:dyDescent="0.25">
      <c r="A19" s="3" t="s">
        <v>19</v>
      </c>
    </row>
    <row r="21" spans="1:5" x14ac:dyDescent="0.25">
      <c r="A21" s="4"/>
      <c r="B21" s="4">
        <v>2023</v>
      </c>
      <c r="C21" s="4">
        <v>2024</v>
      </c>
      <c r="D21" s="4">
        <v>2025</v>
      </c>
    </row>
    <row r="22" spans="1:5" x14ac:dyDescent="0.25">
      <c r="A22" s="5" t="s">
        <v>11</v>
      </c>
      <c r="B22" s="6">
        <v>5070</v>
      </c>
      <c r="C22" s="6">
        <v>5700</v>
      </c>
      <c r="D22" s="6">
        <v>3219</v>
      </c>
      <c r="E22" s="9"/>
    </row>
    <row r="23" spans="1:5" x14ac:dyDescent="0.25">
      <c r="A23" s="5" t="s">
        <v>20</v>
      </c>
      <c r="B23" s="5">
        <v>703</v>
      </c>
      <c r="C23" s="5">
        <v>796</v>
      </c>
      <c r="D23" s="5">
        <v>775</v>
      </c>
      <c r="E23" s="9"/>
    </row>
    <row r="24" spans="1:5" x14ac:dyDescent="0.25">
      <c r="A24" s="5" t="s">
        <v>21</v>
      </c>
      <c r="B24" s="5">
        <v>-117</v>
      </c>
      <c r="C24" s="5">
        <v>-497</v>
      </c>
      <c r="D24" s="5">
        <v>-288</v>
      </c>
      <c r="E24" s="9"/>
    </row>
    <row r="25" spans="1:5" x14ac:dyDescent="0.25">
      <c r="A25" s="5" t="s">
        <v>22</v>
      </c>
      <c r="B25" s="5">
        <v>755</v>
      </c>
      <c r="C25" s="5">
        <v>804</v>
      </c>
      <c r="D25" s="5">
        <v>709</v>
      </c>
      <c r="E25" s="9"/>
    </row>
    <row r="26" spans="1:5" x14ac:dyDescent="0.25">
      <c r="A26" s="5" t="s">
        <v>23</v>
      </c>
      <c r="B26" s="5">
        <v>156</v>
      </c>
      <c r="C26" s="5">
        <v>48</v>
      </c>
      <c r="D26" s="5">
        <v>33</v>
      </c>
      <c r="E26" s="9"/>
    </row>
    <row r="27" spans="1:5" x14ac:dyDescent="0.25">
      <c r="A27" s="5" t="s">
        <v>24</v>
      </c>
      <c r="B27" s="5">
        <v>-213</v>
      </c>
      <c r="C27" s="5">
        <v>-138</v>
      </c>
      <c r="D27" s="5">
        <v>37</v>
      </c>
      <c r="E27" s="9"/>
    </row>
    <row r="28" spans="1:5" x14ac:dyDescent="0.25">
      <c r="A28" s="5" t="s">
        <v>25</v>
      </c>
      <c r="B28" s="5">
        <v>489</v>
      </c>
      <c r="C28" s="5">
        <v>-329</v>
      </c>
      <c r="D28" s="5">
        <v>-257</v>
      </c>
      <c r="E28" s="9"/>
    </row>
    <row r="29" spans="1:5" x14ac:dyDescent="0.25">
      <c r="A29" s="5" t="s">
        <v>26</v>
      </c>
      <c r="B29" s="5">
        <v>-133</v>
      </c>
      <c r="C29" s="5">
        <v>908</v>
      </c>
      <c r="D29" s="5">
        <v>120</v>
      </c>
      <c r="E29" s="9"/>
    </row>
    <row r="30" spans="1:5" x14ac:dyDescent="0.25">
      <c r="A30" s="5" t="s">
        <v>27</v>
      </c>
      <c r="B30" s="5">
        <v>-644</v>
      </c>
      <c r="C30" s="5">
        <v>-260</v>
      </c>
      <c r="D30" s="5">
        <v>-224</v>
      </c>
      <c r="E30" s="9"/>
    </row>
    <row r="31" spans="1:5" x14ac:dyDescent="0.25">
      <c r="A31" s="5" t="s">
        <v>28</v>
      </c>
      <c r="B31" s="5">
        <v>-225</v>
      </c>
      <c r="C31" s="5">
        <v>397</v>
      </c>
      <c r="D31" s="5">
        <v>-426</v>
      </c>
      <c r="E31" s="9"/>
    </row>
    <row r="32" spans="1:5" x14ac:dyDescent="0.25">
      <c r="A32" s="7" t="s">
        <v>29</v>
      </c>
      <c r="B32" s="8">
        <v>5841</v>
      </c>
      <c r="C32" s="8">
        <v>7429</v>
      </c>
      <c r="D32" s="8">
        <v>3598</v>
      </c>
      <c r="E32" s="9"/>
    </row>
    <row r="33" spans="1:5" x14ac:dyDescent="0.25">
      <c r="A33" s="5" t="s">
        <v>30</v>
      </c>
      <c r="B33" s="6">
        <v>-6059</v>
      </c>
      <c r="C33" s="6">
        <v>-4767</v>
      </c>
      <c r="D33" s="6">
        <v>-3234</v>
      </c>
      <c r="E33" s="9"/>
    </row>
    <row r="34" spans="1:5" x14ac:dyDescent="0.25">
      <c r="A34" s="5" t="s">
        <v>31</v>
      </c>
      <c r="B34" s="6">
        <v>3356</v>
      </c>
      <c r="C34" s="6">
        <v>2269</v>
      </c>
      <c r="D34" s="5">
        <v>319</v>
      </c>
      <c r="E34" s="9"/>
    </row>
    <row r="35" spans="1:5" x14ac:dyDescent="0.25">
      <c r="A35" s="5" t="s">
        <v>32</v>
      </c>
      <c r="B35" s="6">
        <v>4184</v>
      </c>
      <c r="C35" s="6">
        <v>4219</v>
      </c>
      <c r="D35" s="6">
        <v>3062</v>
      </c>
      <c r="E35" s="9"/>
    </row>
    <row r="36" spans="1:5" x14ac:dyDescent="0.25">
      <c r="A36" s="5" t="s">
        <v>33</v>
      </c>
      <c r="B36" s="5">
        <v>-969</v>
      </c>
      <c r="C36" s="5">
        <v>-812</v>
      </c>
      <c r="D36" s="5">
        <v>-430</v>
      </c>
      <c r="E36" s="9"/>
    </row>
    <row r="37" spans="1:5" x14ac:dyDescent="0.25">
      <c r="A37" s="5" t="s">
        <v>34</v>
      </c>
      <c r="B37" s="5">
        <v>52</v>
      </c>
      <c r="C37" s="5">
        <v>-15</v>
      </c>
      <c r="D37" s="5">
        <v>8</v>
      </c>
      <c r="E37" s="9"/>
    </row>
    <row r="38" spans="1:5" x14ac:dyDescent="0.25">
      <c r="A38" s="7" t="s">
        <v>35</v>
      </c>
      <c r="B38" s="7">
        <v>564</v>
      </c>
      <c r="C38" s="7">
        <v>894</v>
      </c>
      <c r="D38" s="7">
        <v>-275</v>
      </c>
      <c r="E38" s="9"/>
    </row>
    <row r="39" spans="1:5" x14ac:dyDescent="0.25">
      <c r="A39" s="5" t="s">
        <v>103</v>
      </c>
      <c r="B39" s="5">
        <v>-4</v>
      </c>
      <c r="C39" s="5" t="s">
        <v>37</v>
      </c>
      <c r="D39" s="5">
        <v>-1</v>
      </c>
      <c r="E39" s="9"/>
    </row>
    <row r="40" spans="1:5" x14ac:dyDescent="0.25">
      <c r="A40" s="5" t="s">
        <v>36</v>
      </c>
      <c r="B40" s="5">
        <v>-500</v>
      </c>
      <c r="C40" s="5" t="s">
        <v>37</v>
      </c>
      <c r="D40" s="6">
        <v>-1000</v>
      </c>
      <c r="E40" s="9"/>
    </row>
    <row r="41" spans="1:5" x14ac:dyDescent="0.25">
      <c r="A41" s="5" t="s">
        <v>38</v>
      </c>
      <c r="B41" s="5">
        <v>651</v>
      </c>
      <c r="C41" s="5">
        <v>667</v>
      </c>
      <c r="D41" s="5">
        <v>551</v>
      </c>
      <c r="E41" s="9"/>
    </row>
    <row r="42" spans="1:5" x14ac:dyDescent="0.25">
      <c r="A42" s="5" t="s">
        <v>39</v>
      </c>
      <c r="B42" s="6">
        <v>-5480</v>
      </c>
      <c r="C42" s="6">
        <v>-4250</v>
      </c>
      <c r="D42" s="6">
        <v>-2985</v>
      </c>
      <c r="E42" s="9"/>
    </row>
    <row r="43" spans="1:5" x14ac:dyDescent="0.25">
      <c r="A43" s="5" t="s">
        <v>40</v>
      </c>
      <c r="B43" s="6">
        <v>-2012</v>
      </c>
      <c r="C43" s="6">
        <v>-2169</v>
      </c>
      <c r="D43" s="6">
        <v>-2300</v>
      </c>
      <c r="E43" s="9"/>
    </row>
    <row r="44" spans="1:5" x14ac:dyDescent="0.25">
      <c r="A44" s="5" t="s">
        <v>41</v>
      </c>
      <c r="B44" s="5">
        <v>-102</v>
      </c>
      <c r="C44" s="5">
        <v>-136</v>
      </c>
      <c r="D44" s="5">
        <v>-85</v>
      </c>
      <c r="E44" s="9"/>
    </row>
    <row r="45" spans="1:5" x14ac:dyDescent="0.25">
      <c r="A45" s="7" t="s">
        <v>42</v>
      </c>
      <c r="B45" s="8">
        <v>-7447</v>
      </c>
      <c r="C45" s="8">
        <v>-5888</v>
      </c>
      <c r="D45" s="8">
        <v>-5820</v>
      </c>
      <c r="E45" s="9"/>
    </row>
    <row r="46" spans="1:5" x14ac:dyDescent="0.25">
      <c r="A46" s="5" t="s">
        <v>43</v>
      </c>
      <c r="B46" s="5">
        <v>-91</v>
      </c>
      <c r="C46" s="5">
        <v>-16</v>
      </c>
      <c r="D46" s="5">
        <v>1</v>
      </c>
      <c r="E46" s="9"/>
    </row>
    <row r="47" spans="1:5" x14ac:dyDescent="0.25">
      <c r="A47" s="7" t="s">
        <v>44</v>
      </c>
      <c r="B47" s="8">
        <v>-1133</v>
      </c>
      <c r="C47" s="8">
        <v>2419</v>
      </c>
      <c r="D47" s="8">
        <v>-2396</v>
      </c>
      <c r="E47" s="9"/>
    </row>
    <row r="48" spans="1:5" x14ac:dyDescent="0.25">
      <c r="A48" s="5" t="s">
        <v>45</v>
      </c>
      <c r="B48" s="6">
        <v>8574</v>
      </c>
      <c r="C48" s="6">
        <v>7441</v>
      </c>
      <c r="D48" s="6">
        <v>9860</v>
      </c>
      <c r="E48" s="9"/>
    </row>
    <row r="49" spans="1:5" x14ac:dyDescent="0.25">
      <c r="B49" s="21"/>
      <c r="C49" s="21"/>
      <c r="D49" s="21"/>
      <c r="E49" s="9"/>
    </row>
    <row r="50" spans="1:5" x14ac:dyDescent="0.25">
      <c r="A50" s="3" t="s">
        <v>47</v>
      </c>
      <c r="B50" s="21"/>
      <c r="C50" s="21"/>
      <c r="D50" s="21"/>
      <c r="E50" s="9"/>
    </row>
    <row r="51" spans="1:5" x14ac:dyDescent="0.25">
      <c r="B51" s="21"/>
      <c r="C51" s="21"/>
      <c r="D51" s="21"/>
      <c r="E51" s="9"/>
    </row>
    <row r="52" spans="1:5" x14ac:dyDescent="0.25">
      <c r="A52" s="4"/>
      <c r="B52" s="19">
        <v>2024</v>
      </c>
      <c r="C52" s="19">
        <v>2025</v>
      </c>
      <c r="D52" s="21"/>
      <c r="E52" s="9"/>
    </row>
    <row r="53" spans="1:5" x14ac:dyDescent="0.25">
      <c r="A53" s="5" t="s">
        <v>48</v>
      </c>
      <c r="B53" s="20">
        <v>9860</v>
      </c>
      <c r="C53" s="20">
        <v>7464</v>
      </c>
      <c r="D53" s="21"/>
      <c r="E53" s="9"/>
    </row>
    <row r="54" spans="1:5" x14ac:dyDescent="0.25">
      <c r="A54" s="5" t="s">
        <v>49</v>
      </c>
      <c r="B54" s="20">
        <v>1722</v>
      </c>
      <c r="C54" s="20">
        <f>1687</f>
        <v>1687</v>
      </c>
      <c r="D54" s="21"/>
      <c r="E54" s="9"/>
    </row>
    <row r="55" spans="1:5" x14ac:dyDescent="0.25">
      <c r="A55" s="5" t="s">
        <v>50</v>
      </c>
      <c r="B55" s="20">
        <v>4427</v>
      </c>
      <c r="C55" s="20">
        <v>4717</v>
      </c>
      <c r="D55" s="21"/>
      <c r="E55" s="9"/>
    </row>
    <row r="56" spans="1:5" x14ac:dyDescent="0.25">
      <c r="A56" s="5" t="s">
        <v>3</v>
      </c>
      <c r="B56" s="20">
        <v>7519</v>
      </c>
      <c r="C56" s="20">
        <v>7489</v>
      </c>
      <c r="D56" s="21"/>
      <c r="E56" s="9"/>
    </row>
    <row r="57" spans="1:5" x14ac:dyDescent="0.25">
      <c r="A57" s="5" t="s">
        <v>74</v>
      </c>
      <c r="B57" s="20">
        <v>1854</v>
      </c>
      <c r="C57" s="20">
        <v>2005</v>
      </c>
      <c r="D57" s="21"/>
      <c r="E57" s="9"/>
    </row>
    <row r="58" spans="1:5" x14ac:dyDescent="0.25">
      <c r="A58" s="5" t="s">
        <v>51</v>
      </c>
      <c r="B58" s="20">
        <v>25382</v>
      </c>
      <c r="C58" s="20">
        <v>23362</v>
      </c>
      <c r="D58" s="21"/>
      <c r="E58" s="9"/>
    </row>
    <row r="59" spans="1:5" x14ac:dyDescent="0.25">
      <c r="A59" s="5" t="s">
        <v>52</v>
      </c>
      <c r="B59" s="20">
        <v>5000</v>
      </c>
      <c r="C59" s="20">
        <v>4828</v>
      </c>
      <c r="D59" s="21"/>
      <c r="E59" s="9"/>
    </row>
    <row r="60" spans="1:5" x14ac:dyDescent="0.25">
      <c r="A60" s="5" t="s">
        <v>75</v>
      </c>
      <c r="B60" s="20">
        <v>2718</v>
      </c>
      <c r="C60" s="20">
        <v>2712</v>
      </c>
      <c r="D60" s="21"/>
      <c r="E60" s="9"/>
    </row>
    <row r="61" spans="1:5" x14ac:dyDescent="0.25">
      <c r="A61" s="5" t="s">
        <v>94</v>
      </c>
      <c r="B61" s="20">
        <v>259</v>
      </c>
      <c r="C61" s="20">
        <v>259</v>
      </c>
      <c r="D61" s="21"/>
      <c r="E61" s="9"/>
    </row>
    <row r="62" spans="1:5" x14ac:dyDescent="0.25">
      <c r="A62" s="5" t="s">
        <v>4</v>
      </c>
      <c r="B62" s="20">
        <v>240</v>
      </c>
      <c r="C62" s="20">
        <v>240</v>
      </c>
      <c r="D62" s="21"/>
      <c r="E62" s="9"/>
    </row>
    <row r="63" spans="1:5" x14ac:dyDescent="0.25">
      <c r="A63" s="5" t="s">
        <v>95</v>
      </c>
      <c r="B63" s="20">
        <v>4511</v>
      </c>
      <c r="C63" s="20">
        <v>5178</v>
      </c>
      <c r="D63" s="21"/>
      <c r="E63" s="9"/>
    </row>
    <row r="64" spans="1:5" x14ac:dyDescent="0.25">
      <c r="A64" s="5" t="s">
        <v>53</v>
      </c>
      <c r="B64" s="20">
        <v>38110</v>
      </c>
      <c r="C64" s="20">
        <v>36579</v>
      </c>
      <c r="D64" s="21"/>
    </row>
    <row r="65" spans="1:4" x14ac:dyDescent="0.25">
      <c r="A65" s="5" t="s">
        <v>96</v>
      </c>
      <c r="B65" s="20">
        <v>1000</v>
      </c>
      <c r="C65" s="20" t="s">
        <v>37</v>
      </c>
      <c r="D65" s="21"/>
    </row>
    <row r="66" spans="1:4" x14ac:dyDescent="0.25">
      <c r="A66" s="5" t="s">
        <v>80</v>
      </c>
      <c r="B66" s="20">
        <v>6</v>
      </c>
      <c r="C66" s="20">
        <v>5</v>
      </c>
      <c r="D66" s="21"/>
    </row>
    <row r="67" spans="1:4" x14ac:dyDescent="0.25">
      <c r="A67" s="5" t="s">
        <v>54</v>
      </c>
      <c r="B67" s="20">
        <v>2851</v>
      </c>
      <c r="C67" s="20">
        <v>3479</v>
      </c>
      <c r="D67" s="21"/>
    </row>
    <row r="68" spans="1:4" ht="30" x14ac:dyDescent="0.25">
      <c r="A68" s="5" t="s">
        <v>81</v>
      </c>
      <c r="B68" s="20">
        <v>477</v>
      </c>
      <c r="C68" s="20">
        <v>502</v>
      </c>
      <c r="D68" s="21"/>
    </row>
    <row r="69" spans="1:4" x14ac:dyDescent="0.25">
      <c r="A69" s="5" t="s">
        <v>82</v>
      </c>
      <c r="B69" s="20">
        <v>5725</v>
      </c>
      <c r="C69" s="20">
        <v>5911</v>
      </c>
      <c r="D69" s="21"/>
    </row>
    <row r="70" spans="1:4" x14ac:dyDescent="0.25">
      <c r="A70" s="5" t="s">
        <v>83</v>
      </c>
      <c r="B70" s="20">
        <v>534</v>
      </c>
      <c r="C70" s="20">
        <v>669</v>
      </c>
      <c r="D70" s="21"/>
    </row>
    <row r="71" spans="1:4" x14ac:dyDescent="0.25">
      <c r="A71" s="5" t="s">
        <v>84</v>
      </c>
      <c r="B71" s="20">
        <v>10593</v>
      </c>
      <c r="C71" s="20">
        <v>10566</v>
      </c>
      <c r="D71" s="21"/>
    </row>
    <row r="72" spans="1:4" x14ac:dyDescent="0.25">
      <c r="A72" s="5" t="s">
        <v>55</v>
      </c>
      <c r="B72" s="20">
        <v>7903</v>
      </c>
      <c r="C72" s="20">
        <v>7961</v>
      </c>
      <c r="D72" s="21"/>
    </row>
    <row r="73" spans="1:4" x14ac:dyDescent="0.25">
      <c r="A73" s="5" t="s">
        <v>85</v>
      </c>
      <c r="B73" s="20">
        <v>2566</v>
      </c>
      <c r="C73" s="20">
        <v>2550</v>
      </c>
      <c r="D73" s="21"/>
    </row>
    <row r="74" spans="1:4" x14ac:dyDescent="0.25">
      <c r="A74" s="5" t="s">
        <v>97</v>
      </c>
      <c r="B74" s="20">
        <v>2618</v>
      </c>
      <c r="C74" s="20">
        <v>2289</v>
      </c>
      <c r="D74" s="21"/>
    </row>
    <row r="75" spans="1:4" x14ac:dyDescent="0.25">
      <c r="A75" s="5" t="s">
        <v>86</v>
      </c>
      <c r="B75" s="20">
        <v>23680</v>
      </c>
      <c r="C75" s="20">
        <v>23366</v>
      </c>
      <c r="D75" s="21"/>
    </row>
    <row r="76" spans="1:4" x14ac:dyDescent="0.25">
      <c r="A76" s="5" t="s">
        <v>98</v>
      </c>
      <c r="B76" s="20" t="s">
        <v>37</v>
      </c>
      <c r="C76" s="20" t="s">
        <v>37</v>
      </c>
      <c r="D76" s="21"/>
    </row>
    <row r="77" spans="1:4" x14ac:dyDescent="0.25">
      <c r="A77" s="5" t="s">
        <v>99</v>
      </c>
      <c r="B77" s="20">
        <v>3</v>
      </c>
      <c r="C77" s="20">
        <v>3</v>
      </c>
      <c r="D77" s="21"/>
    </row>
    <row r="78" spans="1:4" x14ac:dyDescent="0.25">
      <c r="A78" s="5" t="s">
        <v>100</v>
      </c>
      <c r="B78" s="20">
        <f>13409</f>
        <v>13409</v>
      </c>
      <c r="C78" s="20">
        <v>14195</v>
      </c>
      <c r="D78" s="21"/>
    </row>
    <row r="79" spans="1:4" x14ac:dyDescent="0.25">
      <c r="A79" s="5" t="s">
        <v>101</v>
      </c>
      <c r="B79" s="20">
        <f>53</f>
        <v>53</v>
      </c>
      <c r="C79" s="20">
        <v>-258</v>
      </c>
      <c r="D79" s="21"/>
    </row>
    <row r="80" spans="1:4" x14ac:dyDescent="0.25">
      <c r="A80" s="5" t="s">
        <v>91</v>
      </c>
      <c r="B80" s="20">
        <v>965</v>
      </c>
      <c r="C80" s="20">
        <v>-727</v>
      </c>
      <c r="D80" s="21"/>
    </row>
    <row r="81" spans="1:4" x14ac:dyDescent="0.25">
      <c r="A81" s="5" t="s">
        <v>56</v>
      </c>
      <c r="B81" s="20">
        <v>14430</v>
      </c>
      <c r="C81" s="20">
        <v>13213</v>
      </c>
      <c r="D81" s="21"/>
    </row>
    <row r="82" spans="1:4" x14ac:dyDescent="0.25">
      <c r="A82" s="5" t="s">
        <v>57</v>
      </c>
      <c r="B82" s="20">
        <v>38110</v>
      </c>
      <c r="C82" s="20">
        <v>36579</v>
      </c>
      <c r="D8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8552-78A6-473B-98C3-6D10BD86C026}">
  <dimension ref="A2:I21"/>
  <sheetViews>
    <sheetView showGridLines="0" workbookViewId="0">
      <selection activeCell="D26" sqref="D26"/>
    </sheetView>
  </sheetViews>
  <sheetFormatPr defaultRowHeight="15" x14ac:dyDescent="0.25"/>
  <cols>
    <col min="1" max="1" width="40.7109375" customWidth="1"/>
    <col min="2" max="2" width="11.85546875" bestFit="1" customWidth="1"/>
  </cols>
  <sheetData>
    <row r="2" spans="1:9" x14ac:dyDescent="0.25">
      <c r="A2" s="43" t="s">
        <v>1</v>
      </c>
      <c r="B2" s="53" t="s">
        <v>58</v>
      </c>
      <c r="C2" s="43" t="s">
        <v>59</v>
      </c>
      <c r="D2" s="44" t="s">
        <v>60</v>
      </c>
      <c r="E2" s="47" t="s">
        <v>61</v>
      </c>
      <c r="F2" s="47" t="s">
        <v>62</v>
      </c>
      <c r="G2" s="47" t="s">
        <v>63</v>
      </c>
      <c r="H2" s="47" t="s">
        <v>64</v>
      </c>
      <c r="I2" s="47" t="s">
        <v>65</v>
      </c>
    </row>
    <row r="3" spans="1:9" x14ac:dyDescent="0.25">
      <c r="A3" s="1" t="s">
        <v>0</v>
      </c>
      <c r="B3" s="32">
        <f>'Raw Data'!B5</f>
        <v>51217</v>
      </c>
      <c r="C3" s="32">
        <f>'Raw Data'!C5</f>
        <v>51362</v>
      </c>
      <c r="D3" s="37">
        <f>'Raw Data'!D5</f>
        <v>46309</v>
      </c>
      <c r="E3" s="1">
        <f>D3*(1+Assumptions!E4)</f>
        <v>46271.952799999999</v>
      </c>
      <c r="F3" s="1">
        <f>E3*(1+Assumptions!F4)</f>
        <v>46470.922197039996</v>
      </c>
      <c r="G3" s="1">
        <f>F3*(1+Assumptions!G4)</f>
        <v>48097.404473936389</v>
      </c>
      <c r="H3" s="1">
        <f>G3*(1+Assumptions!H4)</f>
        <v>50309.885079737462</v>
      </c>
      <c r="I3" s="1">
        <f>H3*(1+Assumptions!I4)</f>
        <v>52624.139793405389</v>
      </c>
    </row>
    <row r="4" spans="1:9" x14ac:dyDescent="0.25">
      <c r="A4" s="1" t="s">
        <v>66</v>
      </c>
      <c r="B4" s="33">
        <f>'Raw Data'!B6</f>
        <v>28925</v>
      </c>
      <c r="C4" s="33">
        <f>'Raw Data'!C6</f>
        <v>28475</v>
      </c>
      <c r="D4" s="38">
        <f>'Raw Data'!D6</f>
        <v>26519</v>
      </c>
      <c r="E4" s="1">
        <f>E3*(1-Assumptions!E6)</f>
        <v>26094.379061655342</v>
      </c>
      <c r="F4" s="1">
        <f>F3*(1-Assumptions!F6)</f>
        <v>26206.58489162046</v>
      </c>
      <c r="G4" s="1">
        <f>G3*(1-Assumptions!G6)</f>
        <v>27123.815362827172</v>
      </c>
      <c r="H4" s="1">
        <f>H3*(1-Assumptions!H6)</f>
        <v>28371.51086951722</v>
      </c>
      <c r="I4" s="1">
        <f>I3*(1-Assumptions!I6)</f>
        <v>29676.600369515014</v>
      </c>
    </row>
    <row r="5" spans="1:9" x14ac:dyDescent="0.25">
      <c r="A5" s="10" t="s">
        <v>6</v>
      </c>
      <c r="B5" s="11">
        <f>B3-B4</f>
        <v>22292</v>
      </c>
      <c r="C5" s="11">
        <f t="shared" ref="C5:I5" si="0">C3-C4</f>
        <v>22887</v>
      </c>
      <c r="D5" s="39">
        <f t="shared" si="0"/>
        <v>19790</v>
      </c>
      <c r="E5" s="11">
        <f t="shared" si="0"/>
        <v>20177.573738344658</v>
      </c>
      <c r="F5" s="11">
        <f t="shared" si="0"/>
        <v>20264.337305419536</v>
      </c>
      <c r="G5" s="11">
        <f t="shared" si="0"/>
        <v>20973.589111109217</v>
      </c>
      <c r="H5" s="11">
        <f t="shared" si="0"/>
        <v>21938.374210220241</v>
      </c>
      <c r="I5" s="11">
        <f t="shared" si="0"/>
        <v>22947.539423890375</v>
      </c>
    </row>
    <row r="6" spans="1:9" x14ac:dyDescent="0.25">
      <c r="A6" s="1" t="s">
        <v>7</v>
      </c>
      <c r="B6" s="33">
        <f>'Raw Data'!B8</f>
        <v>4060</v>
      </c>
      <c r="C6" s="33">
        <f>'Raw Data'!C8</f>
        <v>4285</v>
      </c>
      <c r="D6" s="38">
        <f>'Raw Data'!D8</f>
        <v>4689</v>
      </c>
      <c r="E6" s="1">
        <f>E3*Assumptions!E10</f>
        <v>4071.200858414064</v>
      </c>
      <c r="F6" s="1">
        <f>F3*Assumptions!F10</f>
        <v>4088.7070221052445</v>
      </c>
      <c r="G6" s="1">
        <f>G3*Assumptions!G10</f>
        <v>4231.8117678789276</v>
      </c>
      <c r="H6" s="1">
        <f>H3*Assumptions!H10</f>
        <v>4426.4751092013576</v>
      </c>
      <c r="I6" s="1">
        <f>I3*Assumptions!I10</f>
        <v>4630.092964224621</v>
      </c>
    </row>
    <row r="7" spans="1:9" x14ac:dyDescent="0.25">
      <c r="A7" s="1" t="s">
        <v>8</v>
      </c>
      <c r="B7" s="33">
        <f>'Raw Data'!B9</f>
        <v>12317</v>
      </c>
      <c r="C7" s="33">
        <f>'Raw Data'!C9</f>
        <v>12291</v>
      </c>
      <c r="D7" s="38">
        <f>'Raw Data'!D9</f>
        <v>11399</v>
      </c>
      <c r="E7" s="1">
        <f>E3*Assumptions!E11</f>
        <v>11196.869284895676</v>
      </c>
      <c r="F7" s="1">
        <f>F3*Assumptions!F11</f>
        <v>11245.015822820727</v>
      </c>
      <c r="G7" s="1">
        <f>G3*Assumptions!G11</f>
        <v>11638.59137661945</v>
      </c>
      <c r="H7" s="1">
        <f>H3*Assumptions!H11</f>
        <v>12173.966579943944</v>
      </c>
      <c r="I7" s="1">
        <f>I3*Assumptions!I11</f>
        <v>12733.969042621367</v>
      </c>
    </row>
    <row r="8" spans="1:9" x14ac:dyDescent="0.25">
      <c r="A8" s="10" t="s">
        <v>13</v>
      </c>
      <c r="B8" s="11">
        <f>B6+B7</f>
        <v>16377</v>
      </c>
      <c r="C8" s="11">
        <f t="shared" ref="C8:I8" si="1">C6+C7</f>
        <v>16576</v>
      </c>
      <c r="D8" s="39">
        <f t="shared" si="1"/>
        <v>16088</v>
      </c>
      <c r="E8" s="11">
        <f t="shared" si="1"/>
        <v>15268.07014330974</v>
      </c>
      <c r="F8" s="11">
        <f t="shared" si="1"/>
        <v>15333.722844925971</v>
      </c>
      <c r="G8" s="11">
        <f t="shared" si="1"/>
        <v>15870.403144498378</v>
      </c>
      <c r="H8" s="11">
        <f t="shared" si="1"/>
        <v>16600.4416891453</v>
      </c>
      <c r="I8" s="11">
        <f t="shared" si="1"/>
        <v>17364.06200684599</v>
      </c>
    </row>
    <row r="9" spans="1:9" x14ac:dyDescent="0.25">
      <c r="A9" s="12" t="s">
        <v>9</v>
      </c>
      <c r="B9" s="12">
        <f>B5-B8</f>
        <v>5915</v>
      </c>
      <c r="C9" s="12">
        <f t="shared" ref="C9:I9" si="2">C5-C8</f>
        <v>6311</v>
      </c>
      <c r="D9" s="40">
        <f t="shared" si="2"/>
        <v>3702</v>
      </c>
      <c r="E9" s="12">
        <f t="shared" si="2"/>
        <v>4909.5035950349175</v>
      </c>
      <c r="F9" s="12">
        <f t="shared" si="2"/>
        <v>4930.6144604935653</v>
      </c>
      <c r="G9" s="12">
        <f t="shared" si="2"/>
        <v>5103.1859666108394</v>
      </c>
      <c r="H9" s="12">
        <f t="shared" si="2"/>
        <v>5337.9325210749412</v>
      </c>
      <c r="I9" s="12">
        <f t="shared" si="2"/>
        <v>5583.4774170443852</v>
      </c>
    </row>
    <row r="10" spans="1:9" x14ac:dyDescent="0.25">
      <c r="A10" s="1" t="s">
        <v>14</v>
      </c>
      <c r="B10" s="33">
        <f>'Raw Data'!B11</f>
        <v>-6</v>
      </c>
      <c r="C10" s="33">
        <f>'Raw Data'!C11</f>
        <v>-161</v>
      </c>
      <c r="D10" s="38">
        <f>'Raw Data'!D11</f>
        <v>-107</v>
      </c>
      <c r="E10" s="1">
        <f>AVERAGE($B10:$D10)</f>
        <v>-91.333333333333329</v>
      </c>
      <c r="F10" s="1">
        <f t="shared" ref="F10:I11" si="3">AVERAGE($B10:$D10)</f>
        <v>-91.333333333333329</v>
      </c>
      <c r="G10" s="1">
        <f t="shared" si="3"/>
        <v>-91.333333333333329</v>
      </c>
      <c r="H10" s="1">
        <f t="shared" si="3"/>
        <v>-91.333333333333329</v>
      </c>
      <c r="I10" s="1">
        <f t="shared" si="3"/>
        <v>-91.333333333333329</v>
      </c>
    </row>
    <row r="11" spans="1:9" x14ac:dyDescent="0.25">
      <c r="A11" s="1" t="s">
        <v>15</v>
      </c>
      <c r="B11" s="33">
        <f>'Raw Data'!B12</f>
        <v>-280</v>
      </c>
      <c r="C11" s="33">
        <f>'Raw Data'!C12</f>
        <v>-228</v>
      </c>
      <c r="D11" s="38">
        <f>'Raw Data'!D12</f>
        <v>-76</v>
      </c>
      <c r="E11" s="1">
        <f t="shared" ref="E11:I11" si="4">AVERAGE($B11:$D11)</f>
        <v>-194.66666666666666</v>
      </c>
      <c r="F11" s="1">
        <f t="shared" si="3"/>
        <v>-194.66666666666666</v>
      </c>
      <c r="G11" s="1">
        <f t="shared" si="3"/>
        <v>-194.66666666666666</v>
      </c>
      <c r="H11" s="1">
        <f t="shared" si="3"/>
        <v>-194.66666666666666</v>
      </c>
      <c r="I11" s="1">
        <f t="shared" si="3"/>
        <v>-194.66666666666666</v>
      </c>
    </row>
    <row r="12" spans="1:9" x14ac:dyDescent="0.25">
      <c r="A12" s="10" t="s">
        <v>10</v>
      </c>
      <c r="B12" s="11">
        <f>B9-B10-B11</f>
        <v>6201</v>
      </c>
      <c r="C12" s="11">
        <f t="shared" ref="C12:I12" si="5">C9-C10-C11</f>
        <v>6700</v>
      </c>
      <c r="D12" s="39">
        <f t="shared" si="5"/>
        <v>3885</v>
      </c>
      <c r="E12" s="11">
        <f t="shared" si="5"/>
        <v>5195.5035950349175</v>
      </c>
      <c r="F12" s="11">
        <f t="shared" si="5"/>
        <v>5216.6144604935653</v>
      </c>
      <c r="G12" s="11">
        <f t="shared" si="5"/>
        <v>5389.1859666108394</v>
      </c>
      <c r="H12" s="11">
        <f t="shared" si="5"/>
        <v>5623.9325210749412</v>
      </c>
      <c r="I12" s="11">
        <f t="shared" si="5"/>
        <v>5869.4774170443852</v>
      </c>
    </row>
    <row r="13" spans="1:9" x14ac:dyDescent="0.25">
      <c r="A13" s="1" t="s">
        <v>16</v>
      </c>
      <c r="B13" s="33">
        <f>'Raw Data'!B14</f>
        <v>1131</v>
      </c>
      <c r="C13" s="33">
        <f>'Raw Data'!C14</f>
        <v>1000</v>
      </c>
      <c r="D13" s="38">
        <f>'Raw Data'!D14</f>
        <v>666</v>
      </c>
      <c r="E13" s="1">
        <f>E12*Assumptions!E12</f>
        <v>871.2378769508116</v>
      </c>
      <c r="F13" s="1">
        <f>F12*Assumptions!F12</f>
        <v>874.77797374149873</v>
      </c>
      <c r="G13" s="1">
        <f>G12*Assumptions!G12</f>
        <v>903.71661844872222</v>
      </c>
      <c r="H13" s="1">
        <f>H12*Assumptions!H12</f>
        <v>943.08144343474885</v>
      </c>
      <c r="I13" s="1">
        <f>I12*Assumptions!I12</f>
        <v>984.25705037013176</v>
      </c>
    </row>
    <row r="14" spans="1:9" x14ac:dyDescent="0.25">
      <c r="A14" s="13" t="s">
        <v>11</v>
      </c>
      <c r="B14" s="34">
        <f>B12-B13</f>
        <v>5070</v>
      </c>
      <c r="C14" s="34">
        <f t="shared" ref="C14:I14" si="6">C12-C13</f>
        <v>5700</v>
      </c>
      <c r="D14" s="41">
        <f t="shared" si="6"/>
        <v>3219</v>
      </c>
      <c r="E14" s="13">
        <f t="shared" si="6"/>
        <v>4324.2657180841061</v>
      </c>
      <c r="F14" s="13">
        <f t="shared" si="6"/>
        <v>4341.8364867520668</v>
      </c>
      <c r="G14" s="13">
        <f t="shared" si="6"/>
        <v>4485.4693481621171</v>
      </c>
      <c r="H14" s="13">
        <f t="shared" si="6"/>
        <v>4680.8510776401927</v>
      </c>
      <c r="I14" s="13">
        <f t="shared" si="6"/>
        <v>4885.2203666742535</v>
      </c>
    </row>
    <row r="15" spans="1:9" x14ac:dyDescent="0.25">
      <c r="A15" s="13"/>
      <c r="B15" s="34"/>
      <c r="C15" s="34"/>
      <c r="D15" s="34"/>
      <c r="E15" s="13"/>
      <c r="F15" s="13"/>
      <c r="G15" s="13"/>
      <c r="H15" s="13"/>
      <c r="I15" s="13"/>
    </row>
    <row r="16" spans="1:9" x14ac:dyDescent="0.25">
      <c r="A16" s="1" t="s">
        <v>67</v>
      </c>
      <c r="B16" s="35">
        <f>'Raw Data'!B23</f>
        <v>703</v>
      </c>
      <c r="C16" s="35">
        <f>'Raw Data'!C23</f>
        <v>796</v>
      </c>
      <c r="D16" s="35">
        <f>'Raw Data'!D23</f>
        <v>775</v>
      </c>
      <c r="E16" s="1">
        <f>E3*Assumptions!E14</f>
        <v>708.87332977490951</v>
      </c>
      <c r="F16" s="1">
        <f>F3*Assumptions!F14</f>
        <v>711.92148509294157</v>
      </c>
      <c r="G16" s="1">
        <f>G3*Assumptions!G14</f>
        <v>736.83873707119449</v>
      </c>
      <c r="H16" s="1">
        <f>H3*Assumptions!H14</f>
        <v>770.73331897646938</v>
      </c>
      <c r="I16" s="1">
        <f>I3*Assumptions!I14</f>
        <v>806.18705164938706</v>
      </c>
    </row>
    <row r="17" spans="1:9" x14ac:dyDescent="0.25">
      <c r="A17" s="1" t="s">
        <v>68</v>
      </c>
      <c r="B17" s="35">
        <f>B16+B9</f>
        <v>6618</v>
      </c>
      <c r="C17" s="35">
        <f t="shared" ref="C17:I17" si="7">C16+C9</f>
        <v>7107</v>
      </c>
      <c r="D17" s="35">
        <f t="shared" si="7"/>
        <v>4477</v>
      </c>
      <c r="E17" s="1">
        <f t="shared" si="7"/>
        <v>5618.376924809827</v>
      </c>
      <c r="F17" s="1">
        <f t="shared" si="7"/>
        <v>5642.5359455865073</v>
      </c>
      <c r="G17" s="1">
        <f t="shared" si="7"/>
        <v>5840.0247036820338</v>
      </c>
      <c r="H17" s="1">
        <f t="shared" si="7"/>
        <v>6108.6658400514107</v>
      </c>
      <c r="I17" s="1">
        <f t="shared" si="7"/>
        <v>6389.6644686937725</v>
      </c>
    </row>
    <row r="18" spans="1:9" x14ac:dyDescent="0.25">
      <c r="A18" t="s">
        <v>69</v>
      </c>
      <c r="B18" s="36">
        <f>B5/B3</f>
        <v>0.43524610969014194</v>
      </c>
      <c r="C18" s="36">
        <f t="shared" ref="C18:I18" si="8">C5/C3</f>
        <v>0.44560180678322497</v>
      </c>
      <c r="D18" s="36">
        <f t="shared" si="8"/>
        <v>0.42734673605562634</v>
      </c>
      <c r="E18" s="14">
        <f t="shared" si="8"/>
        <v>0.43606488417633105</v>
      </c>
      <c r="F18" s="14">
        <f t="shared" si="8"/>
        <v>0.43606488417633105</v>
      </c>
      <c r="G18" s="14">
        <f t="shared" si="8"/>
        <v>0.43606488417633105</v>
      </c>
      <c r="H18" s="14">
        <f t="shared" si="8"/>
        <v>0.43606488417633105</v>
      </c>
      <c r="I18" s="14">
        <f t="shared" si="8"/>
        <v>0.43606488417633105</v>
      </c>
    </row>
    <row r="19" spans="1:9" x14ac:dyDescent="0.25">
      <c r="A19" t="s">
        <v>70</v>
      </c>
      <c r="B19" s="36">
        <f>B9/B3</f>
        <v>0.11548899779370131</v>
      </c>
      <c r="C19" s="36">
        <f t="shared" ref="C19:I19" si="9">C9/C3</f>
        <v>0.12287294108484872</v>
      </c>
      <c r="D19" s="36">
        <f t="shared" si="9"/>
        <v>7.9941264117126265E-2</v>
      </c>
      <c r="E19" s="14">
        <f t="shared" si="9"/>
        <v>0.10610106766522544</v>
      </c>
      <c r="F19" s="14">
        <f t="shared" si="9"/>
        <v>0.1061010676652254</v>
      </c>
      <c r="G19" s="14">
        <f t="shared" si="9"/>
        <v>0.1061010676652254</v>
      </c>
      <c r="H19" s="14">
        <f t="shared" si="9"/>
        <v>0.10610106766522547</v>
      </c>
      <c r="I19" s="14">
        <f t="shared" si="9"/>
        <v>0.10610106766522538</v>
      </c>
    </row>
    <row r="20" spans="1:9" x14ac:dyDescent="0.25">
      <c r="A20" t="s">
        <v>71</v>
      </c>
      <c r="B20" s="36">
        <f>B17/B3</f>
        <v>0.12921490911220884</v>
      </c>
      <c r="C20" s="36">
        <f t="shared" ref="C20:I20" si="10">C17/C3</f>
        <v>0.13837077995405164</v>
      </c>
      <c r="D20" s="36">
        <f t="shared" si="10"/>
        <v>9.667667192122481E-2</v>
      </c>
      <c r="E20" s="14">
        <f t="shared" si="10"/>
        <v>0.12142078699582844</v>
      </c>
      <c r="F20" s="14">
        <f t="shared" si="10"/>
        <v>0.12142078699582839</v>
      </c>
      <c r="G20" s="14">
        <f t="shared" si="10"/>
        <v>0.12142078699582839</v>
      </c>
      <c r="H20" s="14">
        <f t="shared" si="10"/>
        <v>0.12142078699582846</v>
      </c>
      <c r="I20" s="14">
        <f t="shared" si="10"/>
        <v>0.12142078699582839</v>
      </c>
    </row>
    <row r="21" spans="1:9" x14ac:dyDescent="0.25">
      <c r="A21" t="s">
        <v>72</v>
      </c>
      <c r="B21" s="36">
        <f>B14/B3</f>
        <v>9.8990569537458259E-2</v>
      </c>
      <c r="C21" s="36">
        <f t="shared" ref="C21:I21" si="11">C14/C3</f>
        <v>0.11097698687745804</v>
      </c>
      <c r="D21" s="36">
        <f t="shared" si="11"/>
        <v>6.9511326092120324E-2</v>
      </c>
      <c r="E21" s="14">
        <f t="shared" si="11"/>
        <v>9.3453279068959158E-2</v>
      </c>
      <c r="F21" s="14">
        <f t="shared" si="11"/>
        <v>9.3431252953026692E-2</v>
      </c>
      <c r="G21" s="14">
        <f t="shared" si="11"/>
        <v>9.3258033301833534E-2</v>
      </c>
      <c r="H21" s="14">
        <f t="shared" si="11"/>
        <v>9.3040385010249749E-2</v>
      </c>
      <c r="I21" s="14">
        <f t="shared" si="11"/>
        <v>9.2832308249653259E-2</v>
      </c>
    </row>
  </sheetData>
  <conditionalFormatting sqref="A3:I14">
    <cfRule type="expression" dxfId="3" priority="1">
      <formula>MOD(ROW(), 2) = 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1E8B-2820-43C1-A725-771AE5601457}">
  <dimension ref="A2:H44"/>
  <sheetViews>
    <sheetView showGridLines="0" workbookViewId="0">
      <selection activeCell="E27" sqref="E27"/>
    </sheetView>
  </sheetViews>
  <sheetFormatPr defaultRowHeight="15" x14ac:dyDescent="0.25"/>
  <cols>
    <col min="1" max="1" width="50.7109375" customWidth="1"/>
  </cols>
  <sheetData>
    <row r="2" spans="1:8" x14ac:dyDescent="0.25">
      <c r="A2" s="45" t="s">
        <v>73</v>
      </c>
      <c r="B2" s="45" t="s">
        <v>59</v>
      </c>
      <c r="C2" s="46" t="s">
        <v>60</v>
      </c>
      <c r="D2" s="47" t="s">
        <v>61</v>
      </c>
      <c r="E2" s="47" t="s">
        <v>62</v>
      </c>
      <c r="F2" s="47" t="s">
        <v>63</v>
      </c>
      <c r="G2" s="47" t="s">
        <v>64</v>
      </c>
      <c r="H2" s="47" t="s">
        <v>65</v>
      </c>
    </row>
    <row r="3" spans="1:8" x14ac:dyDescent="0.25">
      <c r="A3" s="3" t="s">
        <v>2</v>
      </c>
      <c r="B3" s="9"/>
      <c r="C3" s="52"/>
      <c r="D3" s="9"/>
      <c r="E3" s="9"/>
      <c r="F3" s="9"/>
      <c r="G3" s="9"/>
      <c r="H3" s="9"/>
    </row>
    <row r="4" spans="1:8" x14ac:dyDescent="0.25">
      <c r="A4" s="15" t="s">
        <v>48</v>
      </c>
      <c r="B4" s="18">
        <f>'CFS (real)'!C34</f>
        <v>9860</v>
      </c>
      <c r="C4" s="48">
        <f>'CFS (real)'!D34</f>
        <v>7464</v>
      </c>
      <c r="D4" s="9">
        <f>'CFS (real)'!E34</f>
        <v>8434.1169001893177</v>
      </c>
      <c r="E4" s="9">
        <f>'CFS (real)'!F34</f>
        <v>8533.2295339799566</v>
      </c>
      <c r="F4" s="9">
        <f>'CFS (real)'!G34</f>
        <v>8534.1698058380916</v>
      </c>
      <c r="G4" s="9">
        <f>'CFS (real)'!H34</f>
        <v>8632.2315088954765</v>
      </c>
      <c r="H4" s="9">
        <f>'CFS (real)'!I34</f>
        <v>8918.8481897561105</v>
      </c>
    </row>
    <row r="5" spans="1:8" x14ac:dyDescent="0.25">
      <c r="A5" s="15" t="s">
        <v>49</v>
      </c>
      <c r="B5" s="18">
        <f>'Raw Data'!B54</f>
        <v>1722</v>
      </c>
      <c r="C5" s="48">
        <f>'Raw Data'!C54</f>
        <v>1687</v>
      </c>
      <c r="D5" s="9">
        <f ca="1">D44</f>
        <v>3841.1666666666642</v>
      </c>
      <c r="E5" s="9">
        <f t="shared" ref="E5:H5" ca="1" si="0">E44</f>
        <v>5919.8333333333285</v>
      </c>
      <c r="F5" s="9">
        <f t="shared" ca="1" si="0"/>
        <v>7998.5</v>
      </c>
      <c r="G5" s="9">
        <f t="shared" ca="1" si="0"/>
        <v>10077.166666666664</v>
      </c>
      <c r="H5" s="9">
        <f t="shared" ca="1" si="0"/>
        <v>12155.833333333328</v>
      </c>
    </row>
    <row r="6" spans="1:8" x14ac:dyDescent="0.25">
      <c r="A6" s="15" t="s">
        <v>50</v>
      </c>
      <c r="B6" s="18">
        <f>'Raw Data'!B55</f>
        <v>4427</v>
      </c>
      <c r="C6" s="48">
        <f>'Raw Data'!C55</f>
        <v>4717</v>
      </c>
      <c r="D6" s="9">
        <f>'IS (real)'!E3*Assumptions!E17</f>
        <v>4124.5538913525652</v>
      </c>
      <c r="E6" s="9">
        <f>'IS (real)'!F3*Assumptions!F17</f>
        <v>4142.2894730853805</v>
      </c>
      <c r="F6" s="9">
        <f>'IS (real)'!G3*Assumptions!G17</f>
        <v>4287.2696046433684</v>
      </c>
      <c r="G6" s="9">
        <f>'IS (real)'!H3*Assumptions!H17</f>
        <v>4484.4840064569635</v>
      </c>
      <c r="H6" s="9">
        <f>'IS (real)'!I3*Assumptions!I17</f>
        <v>4690.7702707539838</v>
      </c>
    </row>
    <row r="7" spans="1:8" x14ac:dyDescent="0.25">
      <c r="A7" s="15" t="s">
        <v>3</v>
      </c>
      <c r="B7" s="18">
        <f>'Raw Data'!B56</f>
        <v>7519</v>
      </c>
      <c r="C7" s="48">
        <f>'Raw Data'!C56</f>
        <v>7489</v>
      </c>
      <c r="D7" s="9">
        <f>'IS (real)'!E3*Assumptions!E18</f>
        <v>6769.9316374570908</v>
      </c>
      <c r="E7" s="9">
        <f>'IS (real)'!F3*Assumptions!F18</f>
        <v>6799.0423434981558</v>
      </c>
      <c r="F7" s="9">
        <f>'IS (real)'!G3*Assumptions!G18</f>
        <v>7037.0088255205901</v>
      </c>
      <c r="G7" s="9">
        <f>'IS (real)'!H3*Assumptions!H18</f>
        <v>7360.7112314945371</v>
      </c>
      <c r="H7" s="9">
        <f>'IS (real)'!I3*Assumptions!I18</f>
        <v>7699.303948143287</v>
      </c>
    </row>
    <row r="8" spans="1:8" x14ac:dyDescent="0.25">
      <c r="A8" s="15" t="s">
        <v>74</v>
      </c>
      <c r="B8" s="18">
        <f>'Raw Data'!B57</f>
        <v>1854</v>
      </c>
      <c r="C8" s="48">
        <f>'Raw Data'!C57</f>
        <v>2005</v>
      </c>
      <c r="D8" s="9">
        <f>AVERAGE($B$8:$C$8)</f>
        <v>1929.5</v>
      </c>
      <c r="E8" s="9">
        <f t="shared" ref="E8:H8" si="1">AVERAGE($B$8:$C$8)</f>
        <v>1929.5</v>
      </c>
      <c r="F8" s="9">
        <f t="shared" si="1"/>
        <v>1929.5</v>
      </c>
      <c r="G8" s="9">
        <f t="shared" si="1"/>
        <v>1929.5</v>
      </c>
      <c r="H8" s="9">
        <f t="shared" si="1"/>
        <v>1929.5</v>
      </c>
    </row>
    <row r="9" spans="1:8" x14ac:dyDescent="0.25">
      <c r="A9" s="16" t="s">
        <v>51</v>
      </c>
      <c r="B9" s="17">
        <f>SUM(B4:B8)</f>
        <v>25382</v>
      </c>
      <c r="C9" s="49">
        <f>SUM(C4:C8)</f>
        <v>23362</v>
      </c>
      <c r="D9" s="17">
        <f t="shared" ref="C9:H9" ca="1" si="2">SUM(D4:D8)</f>
        <v>25099.269095665637</v>
      </c>
      <c r="E9" s="17">
        <f t="shared" ca="1" si="2"/>
        <v>27323.894683896822</v>
      </c>
      <c r="F9" s="17">
        <f t="shared" ca="1" si="2"/>
        <v>29786.448236002056</v>
      </c>
      <c r="G9" s="17">
        <f t="shared" ca="1" si="2"/>
        <v>32484.093413513645</v>
      </c>
      <c r="H9" s="17">
        <f t="shared" ca="1" si="2"/>
        <v>35394.255741986708</v>
      </c>
    </row>
    <row r="10" spans="1:8" x14ac:dyDescent="0.25">
      <c r="A10" s="15" t="s">
        <v>52</v>
      </c>
      <c r="B10" s="18">
        <f>'Raw Data'!B59</f>
        <v>5000</v>
      </c>
      <c r="C10" s="48">
        <f>'Raw Data'!C59</f>
        <v>4828</v>
      </c>
      <c r="D10" s="9">
        <f>C10-('IS (real)'!E3*Assumptions!E15)-('IS (real)'!E3*Assumptions!E14)</f>
        <v>4798.0026130444803</v>
      </c>
      <c r="E10" s="9">
        <f>D10-('IS (real)'!F3*Assumptions!F15)-('IS (real)'!F3*Assumptions!F14)</f>
        <v>4767.876237325052</v>
      </c>
      <c r="F10" s="9">
        <f>E10-('IS (real)'!G3*Assumptions!G15)-('IS (real)'!G3*Assumptions!G14)</f>
        <v>4736.6954384554429</v>
      </c>
      <c r="G10" s="9">
        <f>F10-('IS (real)'!H3*Assumptions!H15)-('IS (real)'!H3*Assumptions!H14)</f>
        <v>4704.0803228378318</v>
      </c>
      <c r="H10" s="9">
        <f>G10-('IS (real)'!I3*Assumptions!I15)-('IS (real)'!I3*Assumptions!I14)</f>
        <v>4669.9649119018104</v>
      </c>
    </row>
    <row r="11" spans="1:8" x14ac:dyDescent="0.25">
      <c r="A11" s="15" t="s">
        <v>75</v>
      </c>
      <c r="B11" s="18">
        <f>'Raw Data'!B60</f>
        <v>2718</v>
      </c>
      <c r="C11" s="48">
        <f>'Raw Data'!C60</f>
        <v>2712</v>
      </c>
      <c r="D11" s="9">
        <f>$C$11</f>
        <v>2712</v>
      </c>
      <c r="E11" s="9">
        <f t="shared" ref="E11:H11" si="3">$C$11</f>
        <v>2712</v>
      </c>
      <c r="F11" s="9">
        <f t="shared" si="3"/>
        <v>2712</v>
      </c>
      <c r="G11" s="9">
        <f t="shared" si="3"/>
        <v>2712</v>
      </c>
      <c r="H11" s="9">
        <f t="shared" si="3"/>
        <v>2712</v>
      </c>
    </row>
    <row r="12" spans="1:8" x14ac:dyDescent="0.25">
      <c r="A12" s="15" t="s">
        <v>76</v>
      </c>
      <c r="B12" s="18">
        <f>'Raw Data'!B61</f>
        <v>259</v>
      </c>
      <c r="C12" s="48">
        <f>'Raw Data'!C61</f>
        <v>259</v>
      </c>
      <c r="D12" s="9">
        <f>$C$12</f>
        <v>259</v>
      </c>
      <c r="E12" s="9">
        <f t="shared" ref="E12:H12" si="4">$C$12</f>
        <v>259</v>
      </c>
      <c r="F12" s="9">
        <f t="shared" si="4"/>
        <v>259</v>
      </c>
      <c r="G12" s="9">
        <f t="shared" si="4"/>
        <v>259</v>
      </c>
      <c r="H12" s="9">
        <f t="shared" si="4"/>
        <v>259</v>
      </c>
    </row>
    <row r="13" spans="1:8" x14ac:dyDescent="0.25">
      <c r="A13" s="15" t="s">
        <v>4</v>
      </c>
      <c r="B13" s="18">
        <f>'Raw Data'!B62</f>
        <v>240</v>
      </c>
      <c r="C13" s="48">
        <f>'Raw Data'!C62</f>
        <v>240</v>
      </c>
      <c r="D13" s="9">
        <f>$C$13</f>
        <v>240</v>
      </c>
      <c r="E13" s="9">
        <f t="shared" ref="E13:H13" si="5">$C$13</f>
        <v>240</v>
      </c>
      <c r="F13" s="9">
        <f t="shared" si="5"/>
        <v>240</v>
      </c>
      <c r="G13" s="9">
        <f t="shared" si="5"/>
        <v>240</v>
      </c>
      <c r="H13" s="9">
        <f t="shared" si="5"/>
        <v>240</v>
      </c>
    </row>
    <row r="14" spans="1:8" x14ac:dyDescent="0.25">
      <c r="A14" s="15" t="s">
        <v>77</v>
      </c>
      <c r="B14" s="18">
        <f>'Raw Data'!B63</f>
        <v>4511</v>
      </c>
      <c r="C14" s="48">
        <f>'Raw Data'!C63</f>
        <v>5178</v>
      </c>
      <c r="D14" s="9">
        <f>$C$14</f>
        <v>5178</v>
      </c>
      <c r="E14" s="9">
        <f t="shared" ref="E14:H14" si="6">$C$14</f>
        <v>5178</v>
      </c>
      <c r="F14" s="9">
        <f t="shared" si="6"/>
        <v>5178</v>
      </c>
      <c r="G14" s="9">
        <f t="shared" si="6"/>
        <v>5178</v>
      </c>
      <c r="H14" s="9">
        <f t="shared" si="6"/>
        <v>5178</v>
      </c>
    </row>
    <row r="15" spans="1:8" x14ac:dyDescent="0.25">
      <c r="A15" s="16" t="s">
        <v>53</v>
      </c>
      <c r="B15" s="17">
        <f>SUM(B9:B14)</f>
        <v>38110</v>
      </c>
      <c r="C15" s="49">
        <f>SUM(C9:C14)</f>
        <v>36579</v>
      </c>
      <c r="D15" s="17">
        <f t="shared" ref="C15:H15" ca="1" si="7">SUM(D9:D14)</f>
        <v>38286.271708710119</v>
      </c>
      <c r="E15" s="17">
        <f t="shared" ca="1" si="7"/>
        <v>40480.770921221876</v>
      </c>
      <c r="F15" s="17">
        <f t="shared" ca="1" si="7"/>
        <v>42912.143674457497</v>
      </c>
      <c r="G15" s="17">
        <f t="shared" ca="1" si="7"/>
        <v>45577.173736351477</v>
      </c>
      <c r="H15" s="17">
        <f t="shared" ca="1" si="7"/>
        <v>48453.220653888522</v>
      </c>
    </row>
    <row r="16" spans="1:8" x14ac:dyDescent="0.25">
      <c r="A16" s="3" t="s">
        <v>78</v>
      </c>
      <c r="B16" s="9"/>
      <c r="C16" s="50"/>
      <c r="D16" s="9"/>
      <c r="E16" s="9"/>
      <c r="F16" s="9"/>
      <c r="G16" s="9"/>
      <c r="H16" s="9"/>
    </row>
    <row r="17" spans="1:8" x14ac:dyDescent="0.25">
      <c r="A17" s="15" t="s">
        <v>79</v>
      </c>
      <c r="B17" s="18">
        <f>'Raw Data'!B65</f>
        <v>1000</v>
      </c>
      <c r="C17" s="48" t="str">
        <f>'Raw Data'!C65</f>
        <v>—</v>
      </c>
      <c r="D17" s="9" t="str">
        <f>C17</f>
        <v>—</v>
      </c>
      <c r="E17" s="9" t="str">
        <f t="shared" ref="E17:H17" si="8">D17</f>
        <v>—</v>
      </c>
      <c r="F17" s="9" t="str">
        <f t="shared" si="8"/>
        <v>—</v>
      </c>
      <c r="G17" s="9" t="str">
        <f t="shared" si="8"/>
        <v>—</v>
      </c>
      <c r="H17" s="9" t="str">
        <f t="shared" si="8"/>
        <v>—</v>
      </c>
    </row>
    <row r="18" spans="1:8" x14ac:dyDescent="0.25">
      <c r="A18" s="15" t="s">
        <v>80</v>
      </c>
      <c r="B18" s="18">
        <f>'Raw Data'!B66</f>
        <v>6</v>
      </c>
      <c r="C18" s="48">
        <f>'Raw Data'!C66</f>
        <v>5</v>
      </c>
      <c r="D18" s="9">
        <f>$C$18</f>
        <v>5</v>
      </c>
      <c r="E18" s="9">
        <f t="shared" ref="E18:H18" si="9">$C$18</f>
        <v>5</v>
      </c>
      <c r="F18" s="9">
        <f t="shared" si="9"/>
        <v>5</v>
      </c>
      <c r="G18" s="9">
        <f t="shared" si="9"/>
        <v>5</v>
      </c>
      <c r="H18" s="9">
        <f t="shared" si="9"/>
        <v>5</v>
      </c>
    </row>
    <row r="19" spans="1:8" x14ac:dyDescent="0.25">
      <c r="A19" s="15" t="s">
        <v>54</v>
      </c>
      <c r="B19" s="18">
        <f>'Raw Data'!B67</f>
        <v>2851</v>
      </c>
      <c r="C19" s="48">
        <f>'Raw Data'!C67</f>
        <v>3479</v>
      </c>
      <c r="D19" s="9">
        <f>'IS (real)'!E3*Assumptions!E19</f>
        <v>3022.3393239593474</v>
      </c>
      <c r="E19" s="9">
        <f>'IS (real)'!F3*Assumptions!F19</f>
        <v>3035.3353830523724</v>
      </c>
      <c r="F19" s="9">
        <f>'IS (real)'!G3*Assumptions!G19</f>
        <v>3141.5721214592049</v>
      </c>
      <c r="G19" s="9">
        <f>'IS (real)'!H3*Assumptions!H19</f>
        <v>3286.0844390463285</v>
      </c>
      <c r="H19" s="9">
        <f>'IS (real)'!I3*Assumptions!I19</f>
        <v>3437.2443232424598</v>
      </c>
    </row>
    <row r="20" spans="1:8" x14ac:dyDescent="0.25">
      <c r="A20" s="15" t="s">
        <v>81</v>
      </c>
      <c r="B20" s="18">
        <f>'Raw Data'!B68</f>
        <v>477</v>
      </c>
      <c r="C20" s="48">
        <f>'Raw Data'!C68</f>
        <v>502</v>
      </c>
      <c r="D20" s="9">
        <f>$C$20</f>
        <v>502</v>
      </c>
      <c r="E20" s="9">
        <f t="shared" ref="E20:H20" si="10">$C$20</f>
        <v>502</v>
      </c>
      <c r="F20" s="9">
        <f t="shared" si="10"/>
        <v>502</v>
      </c>
      <c r="G20" s="9">
        <f t="shared" si="10"/>
        <v>502</v>
      </c>
      <c r="H20" s="9">
        <f t="shared" si="10"/>
        <v>502</v>
      </c>
    </row>
    <row r="21" spans="1:8" x14ac:dyDescent="0.25">
      <c r="A21" s="15" t="s">
        <v>82</v>
      </c>
      <c r="B21" s="18">
        <f>'Raw Data'!B69</f>
        <v>5725</v>
      </c>
      <c r="C21" s="48">
        <f>'Raw Data'!C69</f>
        <v>5911</v>
      </c>
      <c r="D21" s="9">
        <f>$C$21</f>
        <v>5911</v>
      </c>
      <c r="E21" s="9">
        <f t="shared" ref="E21:H21" si="11">$C$21</f>
        <v>5911</v>
      </c>
      <c r="F21" s="9">
        <f t="shared" si="11"/>
        <v>5911</v>
      </c>
      <c r="G21" s="9">
        <f t="shared" si="11"/>
        <v>5911</v>
      </c>
      <c r="H21" s="9">
        <f t="shared" si="11"/>
        <v>5911</v>
      </c>
    </row>
    <row r="22" spans="1:8" x14ac:dyDescent="0.25">
      <c r="A22" s="15" t="s">
        <v>83</v>
      </c>
      <c r="B22" s="18">
        <f>'Raw Data'!B70</f>
        <v>534</v>
      </c>
      <c r="C22" s="48">
        <f>'Raw Data'!C70</f>
        <v>669</v>
      </c>
      <c r="D22" s="9">
        <f>C22</f>
        <v>669</v>
      </c>
      <c r="E22" s="9">
        <f t="shared" ref="E22:H22" si="12">D22</f>
        <v>669</v>
      </c>
      <c r="F22" s="9">
        <f t="shared" si="12"/>
        <v>669</v>
      </c>
      <c r="G22" s="9">
        <f t="shared" si="12"/>
        <v>669</v>
      </c>
      <c r="H22" s="9">
        <f t="shared" si="12"/>
        <v>669</v>
      </c>
    </row>
    <row r="23" spans="1:8" x14ac:dyDescent="0.25">
      <c r="A23" s="16" t="s">
        <v>84</v>
      </c>
      <c r="B23" s="17">
        <f>SUM(B17:B22)</f>
        <v>10593</v>
      </c>
      <c r="C23" s="49">
        <f t="shared" ref="C23:H23" si="13">SUM(C17:C22)</f>
        <v>10566</v>
      </c>
      <c r="D23" s="17">
        <f t="shared" si="13"/>
        <v>10109.339323959348</v>
      </c>
      <c r="E23" s="17">
        <f t="shared" si="13"/>
        <v>10122.335383052372</v>
      </c>
      <c r="F23" s="17">
        <f t="shared" si="13"/>
        <v>10228.572121459205</v>
      </c>
      <c r="G23" s="17">
        <f t="shared" si="13"/>
        <v>10373.084439046328</v>
      </c>
      <c r="H23" s="17">
        <f t="shared" si="13"/>
        <v>10524.244323242459</v>
      </c>
    </row>
    <row r="24" spans="1:8" x14ac:dyDescent="0.25">
      <c r="A24" s="15" t="s">
        <v>55</v>
      </c>
      <c r="B24" s="18">
        <f>'Raw Data'!B72</f>
        <v>7903</v>
      </c>
      <c r="C24" s="48">
        <f>'Raw Data'!C72</f>
        <v>7961</v>
      </c>
      <c r="D24" s="9">
        <f>$C$24</f>
        <v>7961</v>
      </c>
      <c r="E24" s="9">
        <f t="shared" ref="E24:H24" si="14">$C$24</f>
        <v>7961</v>
      </c>
      <c r="F24" s="9">
        <f t="shared" si="14"/>
        <v>7961</v>
      </c>
      <c r="G24" s="9">
        <f t="shared" si="14"/>
        <v>7961</v>
      </c>
      <c r="H24" s="9">
        <f t="shared" si="14"/>
        <v>7961</v>
      </c>
    </row>
    <row r="25" spans="1:8" x14ac:dyDescent="0.25">
      <c r="A25" s="15" t="s">
        <v>85</v>
      </c>
      <c r="B25" s="18">
        <f>'Raw Data'!B73</f>
        <v>2566</v>
      </c>
      <c r="C25" s="48">
        <f>'Raw Data'!C73</f>
        <v>2550</v>
      </c>
      <c r="D25" s="9">
        <f>$C$25</f>
        <v>2550</v>
      </c>
      <c r="E25" s="9">
        <f t="shared" ref="E25:H25" si="15">$C$25</f>
        <v>2550</v>
      </c>
      <c r="F25" s="9">
        <f t="shared" si="15"/>
        <v>2550</v>
      </c>
      <c r="G25" s="9">
        <f t="shared" si="15"/>
        <v>2550</v>
      </c>
      <c r="H25" s="9">
        <f t="shared" si="15"/>
        <v>2550</v>
      </c>
    </row>
    <row r="26" spans="1:8" x14ac:dyDescent="0.25">
      <c r="A26" s="15" t="s">
        <v>77</v>
      </c>
      <c r="B26" s="18">
        <f>'Raw Data'!B74</f>
        <v>2618</v>
      </c>
      <c r="C26" s="48">
        <f>'Raw Data'!C74</f>
        <v>2289</v>
      </c>
      <c r="D26" s="9">
        <f>$C$26</f>
        <v>2289</v>
      </c>
      <c r="E26" s="9">
        <f t="shared" ref="E26:H26" si="16">$C$26</f>
        <v>2289</v>
      </c>
      <c r="F26" s="9">
        <f t="shared" si="16"/>
        <v>2289</v>
      </c>
      <c r="G26" s="9">
        <f t="shared" si="16"/>
        <v>2289</v>
      </c>
      <c r="H26" s="9">
        <f t="shared" si="16"/>
        <v>2289</v>
      </c>
    </row>
    <row r="27" spans="1:8" x14ac:dyDescent="0.25">
      <c r="A27" s="16" t="s">
        <v>86</v>
      </c>
      <c r="B27" s="17">
        <f>SUM(B23:B26)</f>
        <v>23680</v>
      </c>
      <c r="C27" s="49">
        <f t="shared" ref="C27:H27" si="17">SUM(C23:C26)</f>
        <v>23366</v>
      </c>
      <c r="D27" s="17">
        <f t="shared" si="17"/>
        <v>22909.33932395935</v>
      </c>
      <c r="E27" s="17">
        <f t="shared" si="17"/>
        <v>22922.33538305237</v>
      </c>
      <c r="F27" s="17">
        <f t="shared" si="17"/>
        <v>23028.572121459205</v>
      </c>
      <c r="G27" s="17">
        <f t="shared" si="17"/>
        <v>23173.084439046328</v>
      </c>
      <c r="H27" s="17">
        <f t="shared" si="17"/>
        <v>23324.244323242459</v>
      </c>
    </row>
    <row r="28" spans="1:8" x14ac:dyDescent="0.25">
      <c r="A28" s="3" t="s">
        <v>87</v>
      </c>
      <c r="B28" s="9"/>
      <c r="C28" s="50"/>
      <c r="D28" s="9"/>
      <c r="E28" s="9"/>
      <c r="F28" s="9"/>
      <c r="G28" s="9"/>
      <c r="H28" s="9"/>
    </row>
    <row r="29" spans="1:8" x14ac:dyDescent="0.25">
      <c r="A29" s="15" t="s">
        <v>88</v>
      </c>
      <c r="B29" s="18">
        <f>'Raw Data'!B77</f>
        <v>3</v>
      </c>
      <c r="C29" s="48">
        <f>'Raw Data'!C77</f>
        <v>3</v>
      </c>
      <c r="D29" s="9">
        <f>$C$29</f>
        <v>3</v>
      </c>
      <c r="E29" s="9">
        <f t="shared" ref="E29:H29" si="18">$C$29</f>
        <v>3</v>
      </c>
      <c r="F29" s="9">
        <f t="shared" si="18"/>
        <v>3</v>
      </c>
      <c r="G29" s="9">
        <f t="shared" si="18"/>
        <v>3</v>
      </c>
      <c r="H29" s="9">
        <f t="shared" si="18"/>
        <v>3</v>
      </c>
    </row>
    <row r="30" spans="1:8" x14ac:dyDescent="0.25">
      <c r="A30" s="15" t="s">
        <v>89</v>
      </c>
      <c r="B30" s="18">
        <f>'Raw Data'!B78</f>
        <v>13409</v>
      </c>
      <c r="C30" s="48">
        <f>'Raw Data'!C78</f>
        <v>14195</v>
      </c>
      <c r="D30" s="9">
        <f>$C$30</f>
        <v>14195</v>
      </c>
      <c r="E30" s="9">
        <f t="shared" ref="E30:H30" si="19">$C$30</f>
        <v>14195</v>
      </c>
      <c r="F30" s="9">
        <f t="shared" si="19"/>
        <v>14195</v>
      </c>
      <c r="G30" s="9">
        <f t="shared" si="19"/>
        <v>14195</v>
      </c>
      <c r="H30" s="9">
        <f t="shared" si="19"/>
        <v>14195</v>
      </c>
    </row>
    <row r="31" spans="1:8" x14ac:dyDescent="0.25">
      <c r="A31" s="15" t="s">
        <v>90</v>
      </c>
      <c r="B31" s="18">
        <f>'Raw Data'!B79</f>
        <v>53</v>
      </c>
      <c r="C31" s="48">
        <f>'Raw Data'!C79</f>
        <v>-258</v>
      </c>
      <c r="D31" s="9">
        <f>$C$31</f>
        <v>-258</v>
      </c>
      <c r="E31" s="9">
        <f t="shared" ref="E31:H31" si="20">$C$31</f>
        <v>-258</v>
      </c>
      <c r="F31" s="9">
        <f t="shared" si="20"/>
        <v>-258</v>
      </c>
      <c r="G31" s="9">
        <f t="shared" si="20"/>
        <v>-258</v>
      </c>
      <c r="H31" s="9">
        <f t="shared" si="20"/>
        <v>-258</v>
      </c>
    </row>
    <row r="32" spans="1:8" x14ac:dyDescent="0.25">
      <c r="A32" s="15" t="s">
        <v>91</v>
      </c>
      <c r="B32" s="18">
        <f>'Raw Data'!B80</f>
        <v>965</v>
      </c>
      <c r="C32" s="48">
        <f>'Raw Data'!C80</f>
        <v>-727</v>
      </c>
      <c r="D32" s="9">
        <f>C32+'IS (real)'!E14 +'CFS (real)'!E27</f>
        <v>1436.9323847507726</v>
      </c>
      <c r="E32" s="9">
        <f>D32+'IS (real)'!F14 +'CFS (real)'!F27</f>
        <v>3618.4355381695063</v>
      </c>
      <c r="F32" s="9">
        <f>E32+'IS (real)'!G14 +'CFS (real)'!G27</f>
        <v>5943.5715529982899</v>
      </c>
      <c r="G32" s="9">
        <f>F32+'IS (real)'!H14 +'CFS (real)'!H27</f>
        <v>8464.0892973051486</v>
      </c>
      <c r="H32" s="9">
        <f>G32+'IS (real)'!I14 +'CFS (real)'!I27</f>
        <v>11188.976330646068</v>
      </c>
    </row>
    <row r="33" spans="1:8" x14ac:dyDescent="0.25">
      <c r="A33" s="15" t="s">
        <v>92</v>
      </c>
      <c r="B33" s="22">
        <f>SUM(B29:B32)</f>
        <v>14430</v>
      </c>
      <c r="C33" s="51">
        <f t="shared" ref="C33:H33" si="21">SUM(C29:C32)</f>
        <v>13213</v>
      </c>
      <c r="D33" s="9">
        <f t="shared" si="21"/>
        <v>15376.932384750773</v>
      </c>
      <c r="E33" s="9">
        <f t="shared" si="21"/>
        <v>17558.435538169506</v>
      </c>
      <c r="F33" s="9">
        <f t="shared" si="21"/>
        <v>19883.571552998292</v>
      </c>
      <c r="G33" s="9">
        <f t="shared" si="21"/>
        <v>22404.089297305149</v>
      </c>
      <c r="H33" s="9">
        <f t="shared" si="21"/>
        <v>25128.976330646066</v>
      </c>
    </row>
    <row r="34" spans="1:8" x14ac:dyDescent="0.25">
      <c r="A34" s="16" t="s">
        <v>57</v>
      </c>
      <c r="B34" s="17">
        <f>B33+B27</f>
        <v>38110</v>
      </c>
      <c r="C34" s="49">
        <f t="shared" ref="C34:H34" si="22">C33+C27</f>
        <v>36579</v>
      </c>
      <c r="D34" s="17">
        <f t="shared" si="22"/>
        <v>38286.271708710119</v>
      </c>
      <c r="E34" s="17">
        <f t="shared" si="22"/>
        <v>40480.770921221876</v>
      </c>
      <c r="F34" s="17">
        <f t="shared" si="22"/>
        <v>42912.143674457497</v>
      </c>
      <c r="G34" s="17">
        <f t="shared" si="22"/>
        <v>45577.173736351477</v>
      </c>
      <c r="H34" s="17">
        <f t="shared" si="22"/>
        <v>48453.220653888522</v>
      </c>
    </row>
    <row r="36" spans="1:8" x14ac:dyDescent="0.25">
      <c r="A36" t="s">
        <v>93</v>
      </c>
      <c r="B36" s="9">
        <f>B15-B34</f>
        <v>0</v>
      </c>
      <c r="C36" s="9">
        <f t="shared" ref="C36:H36" si="23">C15-C34</f>
        <v>0</v>
      </c>
      <c r="D36" s="9">
        <f t="shared" ca="1" si="23"/>
        <v>0</v>
      </c>
      <c r="E36" s="9">
        <f ca="1">E15-E34</f>
        <v>0</v>
      </c>
      <c r="F36" s="9">
        <f t="shared" ca="1" si="23"/>
        <v>0</v>
      </c>
      <c r="G36" s="9">
        <f t="shared" ca="1" si="23"/>
        <v>0</v>
      </c>
      <c r="H36" s="9">
        <f t="shared" ca="1" si="23"/>
        <v>0</v>
      </c>
    </row>
    <row r="44" spans="1:8" x14ac:dyDescent="0.25">
      <c r="C44" s="42" t="s">
        <v>134</v>
      </c>
      <c r="D44" s="9">
        <f ca="1">D34-(D15-D5)</f>
        <v>3841.1666666666642</v>
      </c>
      <c r="E44" s="9">
        <f t="shared" ref="E44:H44" ca="1" si="24">E34-(E15-E5)</f>
        <v>5919.8333333333285</v>
      </c>
      <c r="F44" s="9">
        <f t="shared" ca="1" si="24"/>
        <v>7998.5</v>
      </c>
      <c r="G44" s="9">
        <f t="shared" ca="1" si="24"/>
        <v>10077.166666666664</v>
      </c>
      <c r="H44" s="9">
        <f t="shared" ca="1" si="24"/>
        <v>12155.833333333328</v>
      </c>
    </row>
  </sheetData>
  <conditionalFormatting sqref="A2:H34">
    <cfRule type="expression" priority="2">
      <formula>"MOD(row(), 2) = 0"</formula>
    </cfRule>
  </conditionalFormatting>
  <conditionalFormatting sqref="A3:H34">
    <cfRule type="expression" dxfId="5" priority="1">
      <formula>MOD(ROW(), 2) = 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055C-4302-4DB4-B2E4-F4D9FBCD1A92}">
  <dimension ref="A2:I34"/>
  <sheetViews>
    <sheetView showGridLines="0" workbookViewId="0">
      <selection activeCell="D17" sqref="D17"/>
    </sheetView>
  </sheetViews>
  <sheetFormatPr defaultRowHeight="15" x14ac:dyDescent="0.25"/>
  <cols>
    <col min="1" max="1" width="40.7109375" customWidth="1"/>
  </cols>
  <sheetData>
    <row r="2" spans="1:9" x14ac:dyDescent="0.25">
      <c r="A2" s="54" t="s">
        <v>102</v>
      </c>
      <c r="B2" s="55" t="s">
        <v>58</v>
      </c>
      <c r="C2" s="54" t="s">
        <v>59</v>
      </c>
      <c r="D2" s="56" t="s">
        <v>60</v>
      </c>
      <c r="E2" s="47" t="s">
        <v>61</v>
      </c>
      <c r="F2" s="47" t="s">
        <v>62</v>
      </c>
      <c r="G2" s="47" t="s">
        <v>63</v>
      </c>
      <c r="H2" s="47" t="s">
        <v>64</v>
      </c>
      <c r="I2" s="47" t="s">
        <v>65</v>
      </c>
    </row>
    <row r="3" spans="1:9" x14ac:dyDescent="0.25">
      <c r="A3" s="3" t="s">
        <v>104</v>
      </c>
      <c r="D3" s="26"/>
    </row>
    <row r="4" spans="1:9" x14ac:dyDescent="0.25">
      <c r="A4" s="15" t="s">
        <v>11</v>
      </c>
      <c r="B4" s="18">
        <f>'IS (real)'!B14</f>
        <v>5070</v>
      </c>
      <c r="C4" s="18">
        <f>'IS (real)'!C14</f>
        <v>5700</v>
      </c>
      <c r="D4" s="48">
        <f>'IS (real)'!D14</f>
        <v>3219</v>
      </c>
      <c r="E4" s="9">
        <f>'IS (real)'!E14</f>
        <v>4324.2657180841061</v>
      </c>
      <c r="F4" s="9">
        <f>'IS (real)'!F14</f>
        <v>4341.8364867520668</v>
      </c>
      <c r="G4" s="9">
        <f>'IS (real)'!G14</f>
        <v>4485.4693481621171</v>
      </c>
      <c r="H4" s="9">
        <f>'IS (real)'!H14</f>
        <v>4680.8510776401927</v>
      </c>
      <c r="I4" s="9">
        <f>'IS (real)'!I14</f>
        <v>4885.2203666742535</v>
      </c>
    </row>
    <row r="5" spans="1:9" x14ac:dyDescent="0.25">
      <c r="A5" s="15" t="s">
        <v>20</v>
      </c>
      <c r="B5" s="18">
        <f>'Raw Data'!B23</f>
        <v>703</v>
      </c>
      <c r="C5" s="18">
        <f>'Raw Data'!C23</f>
        <v>796</v>
      </c>
      <c r="D5" s="48">
        <f>'Raw Data'!D23</f>
        <v>775</v>
      </c>
      <c r="E5" s="9">
        <f>'IS (real)'!E3*Assumptions!E14</f>
        <v>708.87332977490951</v>
      </c>
      <c r="F5" s="9">
        <f>'IS (real)'!F3*Assumptions!F14</f>
        <v>711.92148509294157</v>
      </c>
      <c r="G5" s="9">
        <f>'IS (real)'!G3*Assumptions!G14</f>
        <v>736.83873707119449</v>
      </c>
      <c r="H5" s="9">
        <f>'IS (real)'!H3*Assumptions!H14</f>
        <v>770.73331897646938</v>
      </c>
      <c r="I5" s="9">
        <f>'IS (real)'!I3*Assumptions!I14</f>
        <v>806.18705164938706</v>
      </c>
    </row>
    <row r="6" spans="1:9" x14ac:dyDescent="0.25">
      <c r="A6" s="15" t="s">
        <v>21</v>
      </c>
      <c r="B6" s="18">
        <f>'Raw Data'!B24</f>
        <v>-117</v>
      </c>
      <c r="C6" s="18">
        <f>'Raw Data'!C24</f>
        <v>-497</v>
      </c>
      <c r="D6" s="48">
        <f>'Raw Data'!D24</f>
        <v>-288</v>
      </c>
      <c r="E6" s="9">
        <f>$D$6</f>
        <v>-288</v>
      </c>
      <c r="F6" s="9">
        <f t="shared" ref="F6:I6" si="0">$D$6</f>
        <v>-288</v>
      </c>
      <c r="G6" s="9">
        <f t="shared" si="0"/>
        <v>-288</v>
      </c>
      <c r="H6" s="9">
        <f t="shared" si="0"/>
        <v>-288</v>
      </c>
      <c r="I6" s="9">
        <f t="shared" si="0"/>
        <v>-288</v>
      </c>
    </row>
    <row r="7" spans="1:9" x14ac:dyDescent="0.25">
      <c r="A7" s="15" t="s">
        <v>22</v>
      </c>
      <c r="B7" s="18">
        <f>'Raw Data'!B25</f>
        <v>755</v>
      </c>
      <c r="C7" s="18">
        <f>'Raw Data'!C25</f>
        <v>804</v>
      </c>
      <c r="D7" s="48">
        <f>'Raw Data'!D25</f>
        <v>709</v>
      </c>
      <c r="E7" s="9">
        <f>AVERAGE($B$7:$D$7)</f>
        <v>756</v>
      </c>
      <c r="F7" s="9">
        <f t="shared" ref="F7:I7" si="1">AVERAGE($B$7:$D$7)</f>
        <v>756</v>
      </c>
      <c r="G7" s="9">
        <f t="shared" si="1"/>
        <v>756</v>
      </c>
      <c r="H7" s="9">
        <f t="shared" si="1"/>
        <v>756</v>
      </c>
      <c r="I7" s="9">
        <f t="shared" si="1"/>
        <v>756</v>
      </c>
    </row>
    <row r="8" spans="1:9" x14ac:dyDescent="0.25">
      <c r="A8" s="15" t="s">
        <v>23</v>
      </c>
      <c r="B8" s="18">
        <f>'Raw Data'!B26</f>
        <v>156</v>
      </c>
      <c r="C8" s="18">
        <f>'Raw Data'!C26</f>
        <v>48</v>
      </c>
      <c r="D8" s="48">
        <f>'Raw Data'!D26</f>
        <v>33</v>
      </c>
      <c r="E8" s="9" t="s">
        <v>37</v>
      </c>
      <c r="F8" s="9" t="s">
        <v>37</v>
      </c>
      <c r="G8" s="9" t="s">
        <v>37</v>
      </c>
      <c r="H8" s="9" t="s">
        <v>37</v>
      </c>
      <c r="I8" s="9" t="s">
        <v>37</v>
      </c>
    </row>
    <row r="9" spans="1:9" x14ac:dyDescent="0.25">
      <c r="A9" s="15" t="s">
        <v>24</v>
      </c>
      <c r="B9" s="18">
        <f>'Raw Data'!B27</f>
        <v>-213</v>
      </c>
      <c r="C9" s="18">
        <f>'Raw Data'!C27</f>
        <v>-138</v>
      </c>
      <c r="D9" s="48">
        <f>'Raw Data'!D27</f>
        <v>37</v>
      </c>
      <c r="E9" s="9" t="s">
        <v>37</v>
      </c>
      <c r="F9" s="9" t="s">
        <v>37</v>
      </c>
      <c r="G9" s="9" t="s">
        <v>37</v>
      </c>
      <c r="H9" s="9" t="s">
        <v>37</v>
      </c>
      <c r="I9" s="9" t="s">
        <v>37</v>
      </c>
    </row>
    <row r="10" spans="1:9" x14ac:dyDescent="0.25">
      <c r="A10" s="15" t="s">
        <v>25</v>
      </c>
      <c r="B10" s="18">
        <f>'Raw Data'!B28</f>
        <v>489</v>
      </c>
      <c r="C10" s="18">
        <f>'Raw Data'!C28</f>
        <v>-329</v>
      </c>
      <c r="D10" s="48">
        <f>'Raw Data'!D28</f>
        <v>-257</v>
      </c>
      <c r="E10" s="9">
        <f>'BS (real)'!C6-'BS (real)'!D6</f>
        <v>592.44610864743481</v>
      </c>
      <c r="F10" s="9">
        <f>'BS (real)'!D6-'BS (real)'!E6</f>
        <v>-17.735581732815263</v>
      </c>
      <c r="G10" s="9">
        <f>'BS (real)'!E6-'BS (real)'!F6</f>
        <v>-144.98013155798799</v>
      </c>
      <c r="H10" s="9">
        <f>'BS (real)'!F6-'BS (real)'!G6</f>
        <v>-197.21440181359503</v>
      </c>
      <c r="I10" s="9">
        <f>'BS (real)'!G6-'BS (real)'!H6</f>
        <v>-206.28626429702035</v>
      </c>
    </row>
    <row r="11" spans="1:9" x14ac:dyDescent="0.25">
      <c r="A11" s="15" t="s">
        <v>26</v>
      </c>
      <c r="B11" s="18">
        <f>'Raw Data'!B29</f>
        <v>-133</v>
      </c>
      <c r="C11" s="18">
        <f>'Raw Data'!C29</f>
        <v>908</v>
      </c>
      <c r="D11" s="48">
        <f>'Raw Data'!D29</f>
        <v>120</v>
      </c>
      <c r="E11" s="9">
        <f>'BS (real)'!C7-'BS (real)'!D7</f>
        <v>719.0683625429092</v>
      </c>
      <c r="F11" s="9">
        <f>'BS (real)'!D7-'BS (real)'!E7</f>
        <v>-29.110706041064986</v>
      </c>
      <c r="G11" s="9">
        <f>'BS (real)'!E7-'BS (real)'!F7</f>
        <v>-237.96648202243432</v>
      </c>
      <c r="H11" s="9">
        <f>'BS (real)'!F7-'BS (real)'!G7</f>
        <v>-323.70240597394695</v>
      </c>
      <c r="I11" s="9">
        <f>'BS (real)'!G7-'BS (real)'!H7</f>
        <v>-338.59271664874996</v>
      </c>
    </row>
    <row r="12" spans="1:9" x14ac:dyDescent="0.25">
      <c r="A12" s="15" t="s">
        <v>27</v>
      </c>
      <c r="B12" s="18">
        <f>'Raw Data'!B30</f>
        <v>-644</v>
      </c>
      <c r="C12" s="18">
        <f>'Raw Data'!C30</f>
        <v>-260</v>
      </c>
      <c r="D12" s="48">
        <f>'Raw Data'!D30</f>
        <v>-224</v>
      </c>
      <c r="E12" s="9">
        <f>$D$12</f>
        <v>-224</v>
      </c>
      <c r="F12" s="9">
        <f t="shared" ref="F12:I12" si="2">$D$12</f>
        <v>-224</v>
      </c>
      <c r="G12" s="9">
        <f t="shared" si="2"/>
        <v>-224</v>
      </c>
      <c r="H12" s="9">
        <f t="shared" si="2"/>
        <v>-224</v>
      </c>
      <c r="I12" s="9">
        <f t="shared" si="2"/>
        <v>-224</v>
      </c>
    </row>
    <row r="13" spans="1:9" x14ac:dyDescent="0.25">
      <c r="A13" s="15" t="s">
        <v>28</v>
      </c>
      <c r="B13" s="18">
        <f>'Raw Data'!B31</f>
        <v>-225</v>
      </c>
      <c r="C13" s="18">
        <f>'Raw Data'!C31</f>
        <v>397</v>
      </c>
      <c r="D13" s="48">
        <f>'Raw Data'!D31</f>
        <v>-426</v>
      </c>
      <c r="E13" s="9">
        <f>'BS (real)'!D19-'BS (real)'!C19</f>
        <v>-456.66067604065256</v>
      </c>
      <c r="F13" s="9">
        <f>'BS (real)'!E19-'BS (real)'!D19</f>
        <v>12.996059093024996</v>
      </c>
      <c r="G13" s="9">
        <f>'BS (real)'!F19-'BS (real)'!E19</f>
        <v>106.2367384068325</v>
      </c>
      <c r="H13" s="9">
        <f>'BS (real)'!G19-'BS (real)'!F19</f>
        <v>144.51231758712356</v>
      </c>
      <c r="I13" s="9">
        <f>'BS (real)'!H19-'BS (real)'!G19</f>
        <v>151.15988419613132</v>
      </c>
    </row>
    <row r="14" spans="1:9" x14ac:dyDescent="0.25">
      <c r="A14" s="16" t="s">
        <v>29</v>
      </c>
      <c r="B14" s="17">
        <f>SUM(B4:B13)</f>
        <v>5841</v>
      </c>
      <c r="C14" s="17">
        <f t="shared" ref="C14:I14" si="3">SUM(C4:C13)</f>
        <v>7429</v>
      </c>
      <c r="D14" s="49">
        <f>SUM(D4:D13)</f>
        <v>3698</v>
      </c>
      <c r="E14" s="17">
        <f t="shared" si="3"/>
        <v>6131.9928430087075</v>
      </c>
      <c r="F14" s="17">
        <f t="shared" si="3"/>
        <v>5263.9077431641535</v>
      </c>
      <c r="G14" s="17">
        <f t="shared" si="3"/>
        <v>5189.5982100597212</v>
      </c>
      <c r="H14" s="17">
        <f t="shared" si="3"/>
        <v>5319.1799064162442</v>
      </c>
      <c r="I14" s="17">
        <f t="shared" si="3"/>
        <v>5541.6883215740017</v>
      </c>
    </row>
    <row r="15" spans="1:9" x14ac:dyDescent="0.25">
      <c r="A15" s="3" t="s">
        <v>105</v>
      </c>
      <c r="B15" s="9"/>
      <c r="C15" s="9"/>
      <c r="D15" s="50"/>
      <c r="E15" s="9"/>
      <c r="F15" s="9"/>
      <c r="G15" s="9"/>
      <c r="H15" s="9"/>
      <c r="I15" s="9"/>
    </row>
    <row r="16" spans="1:9" x14ac:dyDescent="0.25">
      <c r="A16" s="15" t="s">
        <v>30</v>
      </c>
      <c r="B16" s="18">
        <f>'Raw Data'!B33</f>
        <v>-6059</v>
      </c>
      <c r="C16" s="18">
        <f>'Raw Data'!C33</f>
        <v>-4767</v>
      </c>
      <c r="D16" s="48">
        <f>'Raw Data'!D33</f>
        <v>-3234</v>
      </c>
      <c r="E16" s="9">
        <f>$D16</f>
        <v>-3234</v>
      </c>
      <c r="F16" s="9">
        <f t="shared" ref="F16:I18" si="4">$D16</f>
        <v>-3234</v>
      </c>
      <c r="G16" s="9">
        <f t="shared" si="4"/>
        <v>-3234</v>
      </c>
      <c r="H16" s="9">
        <f t="shared" si="4"/>
        <v>-3234</v>
      </c>
      <c r="I16" s="9">
        <f t="shared" si="4"/>
        <v>-3234</v>
      </c>
    </row>
    <row r="17" spans="1:9" x14ac:dyDescent="0.25">
      <c r="A17" s="15" t="s">
        <v>31</v>
      </c>
      <c r="B17" s="18">
        <f>'Raw Data'!B34</f>
        <v>3356</v>
      </c>
      <c r="C17" s="18">
        <f>'Raw Data'!C34</f>
        <v>2269</v>
      </c>
      <c r="D17" s="48">
        <f>'Raw Data'!D34</f>
        <v>319</v>
      </c>
      <c r="E17" s="9">
        <f t="shared" ref="E17:I18" si="5">$D17</f>
        <v>319</v>
      </c>
      <c r="F17" s="9">
        <f t="shared" si="4"/>
        <v>319</v>
      </c>
      <c r="G17" s="9">
        <f t="shared" si="4"/>
        <v>319</v>
      </c>
      <c r="H17" s="9">
        <f t="shared" si="4"/>
        <v>319</v>
      </c>
      <c r="I17" s="9">
        <f t="shared" si="4"/>
        <v>319</v>
      </c>
    </row>
    <row r="18" spans="1:9" x14ac:dyDescent="0.25">
      <c r="A18" s="15" t="s">
        <v>32</v>
      </c>
      <c r="B18" s="18">
        <f>'Raw Data'!B35</f>
        <v>4184</v>
      </c>
      <c r="C18" s="18">
        <f>'Raw Data'!C35</f>
        <v>4219</v>
      </c>
      <c r="D18" s="48">
        <f>'Raw Data'!D35</f>
        <v>3062</v>
      </c>
      <c r="E18" s="9">
        <f t="shared" si="5"/>
        <v>3062</v>
      </c>
      <c r="F18" s="9">
        <f t="shared" si="4"/>
        <v>3062</v>
      </c>
      <c r="G18" s="9">
        <f t="shared" si="4"/>
        <v>3062</v>
      </c>
      <c r="H18" s="9">
        <f t="shared" si="4"/>
        <v>3062</v>
      </c>
      <c r="I18" s="9">
        <f t="shared" si="4"/>
        <v>3062</v>
      </c>
    </row>
    <row r="19" spans="1:9" x14ac:dyDescent="0.25">
      <c r="A19" s="15" t="s">
        <v>33</v>
      </c>
      <c r="B19" s="18">
        <f>'Raw Data'!B36</f>
        <v>-969</v>
      </c>
      <c r="C19" s="18">
        <f>'Raw Data'!C36</f>
        <v>-812</v>
      </c>
      <c r="D19" s="48">
        <f>'Raw Data'!D36</f>
        <v>-430</v>
      </c>
      <c r="E19" s="9">
        <f>'IS (real)'!E3*Assumptions!E15</f>
        <v>-678.87594281938937</v>
      </c>
      <c r="F19" s="9">
        <f>'IS (real)'!F3*Assumptions!F15</f>
        <v>-681.79510937351279</v>
      </c>
      <c r="G19" s="9">
        <f>'IS (real)'!G3*Assumptions!G15</f>
        <v>-705.65793820158558</v>
      </c>
      <c r="H19" s="9">
        <f>'IS (real)'!H3*Assumptions!H15</f>
        <v>-738.11820335885852</v>
      </c>
      <c r="I19" s="9">
        <f>'IS (real)'!I3*Assumptions!I15</f>
        <v>-772.07164071336604</v>
      </c>
    </row>
    <row r="20" spans="1:9" x14ac:dyDescent="0.25">
      <c r="A20" s="15" t="s">
        <v>34</v>
      </c>
      <c r="B20" s="18">
        <f>'Raw Data'!B37</f>
        <v>52</v>
      </c>
      <c r="C20" s="18">
        <f>'Raw Data'!C37</f>
        <v>-15</v>
      </c>
      <c r="D20" s="48">
        <f>'Raw Data'!D37</f>
        <v>8</v>
      </c>
      <c r="E20" s="9" t="str">
        <f>$C$23</f>
        <v>—</v>
      </c>
      <c r="F20" s="9" t="str">
        <f t="shared" ref="F20:I20" si="6">$C$23</f>
        <v>—</v>
      </c>
      <c r="G20" s="9" t="str">
        <f t="shared" si="6"/>
        <v>—</v>
      </c>
      <c r="H20" s="9" t="str">
        <f t="shared" si="6"/>
        <v>—</v>
      </c>
      <c r="I20" s="9" t="str">
        <f t="shared" si="6"/>
        <v>—</v>
      </c>
    </row>
    <row r="21" spans="1:9" x14ac:dyDescent="0.25">
      <c r="A21" s="16" t="s">
        <v>35</v>
      </c>
      <c r="B21" s="17">
        <f>SUM(B16:B20)</f>
        <v>564</v>
      </c>
      <c r="C21" s="17">
        <f t="shared" ref="C21:I21" si="7">SUM(C16:C20)</f>
        <v>894</v>
      </c>
      <c r="D21" s="49">
        <f t="shared" si="7"/>
        <v>-275</v>
      </c>
      <c r="E21" s="17">
        <f t="shared" si="7"/>
        <v>-531.87594281938937</v>
      </c>
      <c r="F21" s="17">
        <f t="shared" si="7"/>
        <v>-534.79510937351279</v>
      </c>
      <c r="G21" s="17">
        <f t="shared" si="7"/>
        <v>-558.65793820158558</v>
      </c>
      <c r="H21" s="17">
        <f t="shared" si="7"/>
        <v>-591.11820335885852</v>
      </c>
      <c r="I21" s="17">
        <f t="shared" si="7"/>
        <v>-625.07164071336604</v>
      </c>
    </row>
    <row r="22" spans="1:9" x14ac:dyDescent="0.25">
      <c r="A22" s="3" t="s">
        <v>106</v>
      </c>
      <c r="B22" s="9"/>
      <c r="C22" s="9"/>
      <c r="D22" s="50"/>
      <c r="E22" s="9"/>
      <c r="F22" s="9"/>
      <c r="G22" s="9"/>
      <c r="H22" s="9"/>
      <c r="I22" s="9"/>
    </row>
    <row r="23" spans="1:9" x14ac:dyDescent="0.25">
      <c r="A23" s="15" t="s">
        <v>103</v>
      </c>
      <c r="B23" s="9">
        <f>'Raw Data'!B39</f>
        <v>-4</v>
      </c>
      <c r="C23" s="9" t="str">
        <f>'Raw Data'!C39</f>
        <v>—</v>
      </c>
      <c r="D23" s="50">
        <f>'Raw Data'!D39</f>
        <v>-1</v>
      </c>
      <c r="E23" s="9" t="s">
        <v>37</v>
      </c>
      <c r="F23" s="9" t="s">
        <v>37</v>
      </c>
      <c r="G23" s="9" t="s">
        <v>37</v>
      </c>
      <c r="H23" s="9" t="s">
        <v>37</v>
      </c>
      <c r="I23" s="9" t="s">
        <v>37</v>
      </c>
    </row>
    <row r="24" spans="1:9" x14ac:dyDescent="0.25">
      <c r="A24" s="15" t="s">
        <v>36</v>
      </c>
      <c r="B24" s="9">
        <f>'Raw Data'!B40</f>
        <v>-500</v>
      </c>
      <c r="C24" s="9" t="str">
        <f>'Raw Data'!C40</f>
        <v>—</v>
      </c>
      <c r="D24" s="50">
        <f>'Raw Data'!D40</f>
        <v>-1000</v>
      </c>
      <c r="E24" s="9" t="s">
        <v>37</v>
      </c>
      <c r="F24" s="9" t="s">
        <v>37</v>
      </c>
      <c r="G24" s="9" t="s">
        <v>37</v>
      </c>
      <c r="H24" s="9" t="s">
        <v>37</v>
      </c>
      <c r="I24" s="9" t="s">
        <v>37</v>
      </c>
    </row>
    <row r="25" spans="1:9" x14ac:dyDescent="0.25">
      <c r="A25" s="15" t="s">
        <v>38</v>
      </c>
      <c r="B25" s="9">
        <f>'Raw Data'!B41</f>
        <v>651</v>
      </c>
      <c r="C25" s="9">
        <f>'Raw Data'!C41</f>
        <v>667</v>
      </c>
      <c r="D25" s="50">
        <f>'Raw Data'!D41</f>
        <v>551</v>
      </c>
      <c r="E25" s="9">
        <f>AVERAGE($B25:$D25)</f>
        <v>623</v>
      </c>
      <c r="F25" s="9">
        <f t="shared" ref="F25:I28" si="8">AVERAGE($B25:$D25)</f>
        <v>623</v>
      </c>
      <c r="G25" s="9">
        <f t="shared" si="8"/>
        <v>623</v>
      </c>
      <c r="H25" s="9">
        <f t="shared" si="8"/>
        <v>623</v>
      </c>
      <c r="I25" s="9">
        <f t="shared" si="8"/>
        <v>623</v>
      </c>
    </row>
    <row r="26" spans="1:9" x14ac:dyDescent="0.25">
      <c r="A26" s="15" t="s">
        <v>39</v>
      </c>
      <c r="B26" s="9">
        <f>'Raw Data'!B42</f>
        <v>-5480</v>
      </c>
      <c r="C26" s="9">
        <f>'Raw Data'!C42</f>
        <v>-4250</v>
      </c>
      <c r="D26" s="50">
        <f>'Raw Data'!D42</f>
        <v>-2985</v>
      </c>
      <c r="E26" s="9">
        <f>$D$26</f>
        <v>-2985</v>
      </c>
      <c r="F26" s="9">
        <f t="shared" ref="F26:I26" si="9">$D$26</f>
        <v>-2985</v>
      </c>
      <c r="G26" s="9">
        <f t="shared" si="9"/>
        <v>-2985</v>
      </c>
      <c r="H26" s="9">
        <f t="shared" si="9"/>
        <v>-2985</v>
      </c>
      <c r="I26" s="9">
        <f t="shared" si="9"/>
        <v>-2985</v>
      </c>
    </row>
    <row r="27" spans="1:9" x14ac:dyDescent="0.25">
      <c r="A27" s="15" t="s">
        <v>40</v>
      </c>
      <c r="B27" s="9">
        <f>'Raw Data'!B43</f>
        <v>-2012</v>
      </c>
      <c r="C27" s="9">
        <f>'Raw Data'!C43</f>
        <v>-2169</v>
      </c>
      <c r="D27" s="50">
        <f>'Raw Data'!D43</f>
        <v>-2300</v>
      </c>
      <c r="E27" s="9">
        <f t="shared" ref="E26:I28" si="10">AVERAGE($B27:$D27)</f>
        <v>-2160.3333333333335</v>
      </c>
      <c r="F27" s="9">
        <f t="shared" si="8"/>
        <v>-2160.3333333333335</v>
      </c>
      <c r="G27" s="9">
        <f t="shared" si="8"/>
        <v>-2160.3333333333335</v>
      </c>
      <c r="H27" s="9">
        <f t="shared" si="8"/>
        <v>-2160.3333333333335</v>
      </c>
      <c r="I27" s="9">
        <f t="shared" si="8"/>
        <v>-2160.3333333333335</v>
      </c>
    </row>
    <row r="28" spans="1:9" x14ac:dyDescent="0.25">
      <c r="A28" s="15" t="s">
        <v>41</v>
      </c>
      <c r="B28" s="9">
        <f>'Raw Data'!B44</f>
        <v>-102</v>
      </c>
      <c r="C28" s="9">
        <f>'Raw Data'!C44</f>
        <v>-136</v>
      </c>
      <c r="D28" s="50">
        <f>'Raw Data'!D44</f>
        <v>-85</v>
      </c>
      <c r="E28" s="9">
        <f t="shared" si="10"/>
        <v>-107.66666666666667</v>
      </c>
      <c r="F28" s="9">
        <f t="shared" si="8"/>
        <v>-107.66666666666667</v>
      </c>
      <c r="G28" s="9">
        <f t="shared" si="8"/>
        <v>-107.66666666666667</v>
      </c>
      <c r="H28" s="9">
        <f t="shared" si="8"/>
        <v>-107.66666666666667</v>
      </c>
      <c r="I28" s="9">
        <f t="shared" si="8"/>
        <v>-107.66666666666667</v>
      </c>
    </row>
    <row r="29" spans="1:9" x14ac:dyDescent="0.25">
      <c r="A29" s="16" t="s">
        <v>107</v>
      </c>
      <c r="B29" s="17">
        <f>SUM(B23:B28)</f>
        <v>-7447</v>
      </c>
      <c r="C29" s="17">
        <f t="shared" ref="C29:I29" si="11">SUM(C23:C28)</f>
        <v>-5888</v>
      </c>
      <c r="D29" s="49">
        <f t="shared" si="11"/>
        <v>-5820</v>
      </c>
      <c r="E29" s="17">
        <f t="shared" si="11"/>
        <v>-4630.0000000000009</v>
      </c>
      <c r="F29" s="17">
        <f t="shared" si="11"/>
        <v>-4630.0000000000009</v>
      </c>
      <c r="G29" s="17">
        <f t="shared" si="11"/>
        <v>-4630.0000000000009</v>
      </c>
      <c r="H29" s="17">
        <f t="shared" si="11"/>
        <v>-4630.0000000000009</v>
      </c>
      <c r="I29" s="17">
        <f t="shared" si="11"/>
        <v>-4630.0000000000009</v>
      </c>
    </row>
    <row r="30" spans="1:9" x14ac:dyDescent="0.25">
      <c r="A30" s="3" t="s">
        <v>108</v>
      </c>
      <c r="B30" s="9"/>
      <c r="C30" s="9"/>
      <c r="D30" s="50"/>
      <c r="E30" s="9"/>
      <c r="F30" s="9"/>
      <c r="G30" s="9"/>
      <c r="H30" s="9"/>
      <c r="I30" s="9"/>
    </row>
    <row r="31" spans="1:9" x14ac:dyDescent="0.25">
      <c r="A31" s="15" t="s">
        <v>43</v>
      </c>
      <c r="B31" s="9">
        <f>'Raw Data'!B46</f>
        <v>-91</v>
      </c>
      <c r="C31" s="9">
        <f>'Raw Data'!C46</f>
        <v>-16</v>
      </c>
      <c r="D31" s="50">
        <f>'Raw Data'!D46</f>
        <v>1</v>
      </c>
      <c r="E31" s="9">
        <f>0</f>
        <v>0</v>
      </c>
      <c r="F31" s="9">
        <f>0</f>
        <v>0</v>
      </c>
      <c r="G31" s="9">
        <f>0</f>
        <v>0</v>
      </c>
      <c r="H31" s="9">
        <f>0</f>
        <v>0</v>
      </c>
      <c r="I31" s="9">
        <f>0</f>
        <v>0</v>
      </c>
    </row>
    <row r="32" spans="1:9" x14ac:dyDescent="0.25">
      <c r="A32" s="15" t="s">
        <v>44</v>
      </c>
      <c r="B32" s="9">
        <f>B31+B29+B21+B14</f>
        <v>-1133</v>
      </c>
      <c r="C32" s="9">
        <f t="shared" ref="C32:I32" si="12">C31+C29+C21+C14</f>
        <v>2419</v>
      </c>
      <c r="D32" s="50">
        <f t="shared" si="12"/>
        <v>-2396</v>
      </c>
      <c r="E32" s="9">
        <f t="shared" si="12"/>
        <v>970.11690018931768</v>
      </c>
      <c r="F32" s="9">
        <f t="shared" si="12"/>
        <v>99.112633790639848</v>
      </c>
      <c r="G32" s="9">
        <f t="shared" si="12"/>
        <v>0.94027185813502001</v>
      </c>
      <c r="H32" s="9">
        <f t="shared" si="12"/>
        <v>98.061703057384875</v>
      </c>
      <c r="I32" s="9">
        <f t="shared" si="12"/>
        <v>286.61668086063492</v>
      </c>
    </row>
    <row r="33" spans="1:9" x14ac:dyDescent="0.25">
      <c r="A33" s="15" t="s">
        <v>45</v>
      </c>
      <c r="B33" s="9">
        <f>'Raw Data'!B48</f>
        <v>8574</v>
      </c>
      <c r="C33" s="9">
        <f>B34</f>
        <v>7441</v>
      </c>
      <c r="D33" s="50">
        <f t="shared" ref="D33:I33" si="13">C34</f>
        <v>9860</v>
      </c>
      <c r="E33" s="9">
        <f t="shared" si="13"/>
        <v>7464</v>
      </c>
      <c r="F33" s="9">
        <f t="shared" si="13"/>
        <v>8434.1169001893177</v>
      </c>
      <c r="G33" s="9">
        <f t="shared" si="13"/>
        <v>8533.2295339799566</v>
      </c>
      <c r="H33" s="9">
        <f t="shared" si="13"/>
        <v>8534.1698058380916</v>
      </c>
      <c r="I33" s="9">
        <f t="shared" si="13"/>
        <v>8632.2315088954765</v>
      </c>
    </row>
    <row r="34" spans="1:9" x14ac:dyDescent="0.25">
      <c r="A34" s="15" t="s">
        <v>46</v>
      </c>
      <c r="B34" s="9">
        <f>B33+B32</f>
        <v>7441</v>
      </c>
      <c r="C34" s="9">
        <f t="shared" ref="C34:I34" si="14">C33+C32</f>
        <v>9860</v>
      </c>
      <c r="D34" s="50">
        <f t="shared" si="14"/>
        <v>7464</v>
      </c>
      <c r="E34" s="9">
        <f t="shared" si="14"/>
        <v>8434.1169001893177</v>
      </c>
      <c r="F34" s="9">
        <f t="shared" si="14"/>
        <v>8533.2295339799566</v>
      </c>
      <c r="G34" s="9">
        <f t="shared" si="14"/>
        <v>8534.1698058380916</v>
      </c>
      <c r="H34" s="9">
        <f t="shared" si="14"/>
        <v>8632.2315088954765</v>
      </c>
      <c r="I34" s="9">
        <f t="shared" si="14"/>
        <v>8918.8481897561105</v>
      </c>
    </row>
  </sheetData>
  <conditionalFormatting sqref="A3:I34">
    <cfRule type="expression" dxfId="1" priority="1">
      <formula>MOD(ROW(), 2) = 0</formula>
    </cfRule>
  </conditionalFormatting>
  <pageMargins left="0.7" right="0.7" top="0.75" bottom="0.75" header="0.3" footer="0.3"/>
  <ignoredErrors>
    <ignoredError sqref="E26:I2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EFED-6E08-4A8F-929E-CC1FB3DC6A3D}">
  <dimension ref="A2:I19"/>
  <sheetViews>
    <sheetView showGridLines="0" tabSelected="1" workbookViewId="0">
      <selection activeCell="N12" sqref="N12"/>
    </sheetView>
  </sheetViews>
  <sheetFormatPr defaultRowHeight="15" x14ac:dyDescent="0.25"/>
  <cols>
    <col min="1" max="1" width="40.7109375" customWidth="1"/>
    <col min="3" max="3" width="10.85546875" bestFit="1" customWidth="1"/>
  </cols>
  <sheetData>
    <row r="2" spans="1:9" x14ac:dyDescent="0.25">
      <c r="A2" s="54" t="s">
        <v>109</v>
      </c>
      <c r="B2" s="55" t="s">
        <v>58</v>
      </c>
      <c r="C2" s="54" t="s">
        <v>59</v>
      </c>
      <c r="D2" s="56" t="s">
        <v>60</v>
      </c>
      <c r="E2" s="47" t="s">
        <v>61</v>
      </c>
      <c r="F2" s="47" t="s">
        <v>62</v>
      </c>
      <c r="G2" s="47" t="s">
        <v>63</v>
      </c>
      <c r="H2" s="47" t="s">
        <v>64</v>
      </c>
      <c r="I2" s="47" t="s">
        <v>65</v>
      </c>
    </row>
    <row r="3" spans="1:9" x14ac:dyDescent="0.25">
      <c r="A3" s="3" t="s">
        <v>110</v>
      </c>
    </row>
    <row r="4" spans="1:9" x14ac:dyDescent="0.25">
      <c r="A4" s="24" t="s">
        <v>123</v>
      </c>
      <c r="B4" s="25"/>
      <c r="C4" s="25">
        <f>('IS (real)'!C3/'IS (real)'!B3)-1</f>
        <v>2.8310912392370824E-3</v>
      </c>
      <c r="D4" s="25">
        <f>('IS (real)'!D3/'IS (real)'!C3)-1</f>
        <v>-9.8380125384525563E-2</v>
      </c>
      <c r="E4" s="25">
        <v>-8.0000000000000004E-4</v>
      </c>
      <c r="F4" s="25">
        <v>4.3E-3</v>
      </c>
      <c r="G4" s="25">
        <v>3.5000000000000003E-2</v>
      </c>
      <c r="H4" s="25">
        <v>4.5999999999999999E-2</v>
      </c>
      <c r="I4" s="25">
        <v>4.5999999999999999E-2</v>
      </c>
    </row>
    <row r="5" spans="1:9" x14ac:dyDescent="0.25">
      <c r="A5" s="3" t="s">
        <v>111</v>
      </c>
      <c r="B5" s="14"/>
      <c r="C5" s="14"/>
      <c r="D5" s="14"/>
      <c r="E5" s="14"/>
      <c r="F5" s="14"/>
      <c r="G5" s="14"/>
      <c r="H5" s="14"/>
      <c r="I5" s="14"/>
    </row>
    <row r="6" spans="1:9" x14ac:dyDescent="0.25">
      <c r="A6" s="15" t="s">
        <v>69</v>
      </c>
      <c r="B6" s="14">
        <f>'IS (real)'!B5/'IS (real)'!B3</f>
        <v>0.43524610969014194</v>
      </c>
      <c r="C6" s="14">
        <f>'IS (real)'!C5/'IS (real)'!C3</f>
        <v>0.44560180678322497</v>
      </c>
      <c r="D6" s="14">
        <f>'IS (real)'!D5/'IS (real)'!D3</f>
        <v>0.42734673605562634</v>
      </c>
      <c r="E6" s="14">
        <f>AVERAGE($B$6:$D$6)</f>
        <v>0.4360648841763311</v>
      </c>
      <c r="F6" s="14">
        <f t="shared" ref="F6:I6" si="0">AVERAGE($B$6:$D$6)</f>
        <v>0.4360648841763311</v>
      </c>
      <c r="G6" s="14">
        <f t="shared" si="0"/>
        <v>0.4360648841763311</v>
      </c>
      <c r="H6" s="14">
        <f t="shared" si="0"/>
        <v>0.4360648841763311</v>
      </c>
      <c r="I6" s="14">
        <f t="shared" si="0"/>
        <v>0.4360648841763311</v>
      </c>
    </row>
    <row r="7" spans="1:9" x14ac:dyDescent="0.25">
      <c r="A7" s="15" t="s">
        <v>70</v>
      </c>
      <c r="B7" s="14">
        <f>'IS (real)'!B9/'IS (real)'!B3</f>
        <v>0.11548899779370131</v>
      </c>
      <c r="C7" s="14">
        <f>'IS (real)'!C9/'IS (real)'!C3</f>
        <v>0.12287294108484872</v>
      </c>
      <c r="D7" s="14">
        <f>'IS (real)'!D9/'IS (real)'!D3</f>
        <v>7.9941264117126265E-2</v>
      </c>
      <c r="E7" s="14"/>
      <c r="F7" s="14"/>
      <c r="G7" s="14"/>
      <c r="H7" s="14"/>
      <c r="I7" s="14"/>
    </row>
    <row r="8" spans="1:9" x14ac:dyDescent="0.25">
      <c r="A8" s="24" t="s">
        <v>72</v>
      </c>
      <c r="B8" s="25">
        <f>'IS (real)'!B14/'IS (real)'!B3</f>
        <v>9.8990569537458259E-2</v>
      </c>
      <c r="C8" s="25">
        <f>'IS (real)'!C14/'IS (real)'!C3</f>
        <v>0.11097698687745804</v>
      </c>
      <c r="D8" s="25">
        <f>'IS (real)'!D14/'IS (real)'!D3</f>
        <v>6.9511326092120324E-2</v>
      </c>
      <c r="E8" s="25"/>
      <c r="F8" s="25"/>
      <c r="G8" s="25"/>
      <c r="H8" s="25"/>
      <c r="I8" s="25"/>
    </row>
    <row r="9" spans="1:9" x14ac:dyDescent="0.25">
      <c r="A9" s="3" t="s">
        <v>112</v>
      </c>
      <c r="B9" s="14"/>
      <c r="C9" s="14"/>
      <c r="D9" s="14"/>
      <c r="E9" s="14"/>
      <c r="F9" s="14"/>
      <c r="G9" s="14"/>
      <c r="H9" s="14"/>
      <c r="I9" s="14"/>
    </row>
    <row r="10" spans="1:9" x14ac:dyDescent="0.25">
      <c r="A10" s="15" t="s">
        <v>113</v>
      </c>
      <c r="B10" s="14">
        <f>'IS (real)'!B6/'IS (real)'!B3</f>
        <v>7.9270554698635212E-2</v>
      </c>
      <c r="C10" s="14">
        <f>'IS (real)'!C6/'IS (real)'!C3</f>
        <v>8.3427436626299603E-2</v>
      </c>
      <c r="D10" s="14">
        <f>'IS (real)'!D6/'IS (real)'!D3</f>
        <v>0.10125461573344274</v>
      </c>
      <c r="E10" s="14">
        <f>AVERAGE($B$10:$D$10)</f>
        <v>8.7984202352792515E-2</v>
      </c>
      <c r="F10" s="14">
        <f t="shared" ref="F10:I10" si="1">AVERAGE($B$10:$D$10)</f>
        <v>8.7984202352792515E-2</v>
      </c>
      <c r="G10" s="14">
        <f t="shared" si="1"/>
        <v>8.7984202352792515E-2</v>
      </c>
      <c r="H10" s="14">
        <f t="shared" si="1"/>
        <v>8.7984202352792515E-2</v>
      </c>
      <c r="I10" s="14">
        <f t="shared" si="1"/>
        <v>8.7984202352792515E-2</v>
      </c>
    </row>
    <row r="11" spans="1:9" x14ac:dyDescent="0.25">
      <c r="A11" s="15" t="s">
        <v>114</v>
      </c>
      <c r="B11" s="14">
        <f>'IS (real)'!B7/'IS (real)'!B3</f>
        <v>0.24048655719780543</v>
      </c>
      <c r="C11" s="14">
        <f>'IS (real)'!C7/'IS (real)'!C3</f>
        <v>0.23930142907207663</v>
      </c>
      <c r="D11" s="14">
        <f>'IS (real)'!D7/'IS (real)'!D3</f>
        <v>0.24615085620505733</v>
      </c>
      <c r="E11" s="14">
        <f>AVERAGE($B11:$D11)</f>
        <v>0.24197961415831312</v>
      </c>
      <c r="F11" s="14">
        <f t="shared" ref="F11:I12" si="2">AVERAGE($B11:$D11)</f>
        <v>0.24197961415831312</v>
      </c>
      <c r="G11" s="14">
        <f t="shared" si="2"/>
        <v>0.24197961415831312</v>
      </c>
      <c r="H11" s="14">
        <f t="shared" si="2"/>
        <v>0.24197961415831312</v>
      </c>
      <c r="I11" s="14">
        <f t="shared" si="2"/>
        <v>0.24197961415831312</v>
      </c>
    </row>
    <row r="12" spans="1:9" x14ac:dyDescent="0.25">
      <c r="A12" s="24" t="s">
        <v>115</v>
      </c>
      <c r="B12" s="25">
        <f>'IS (real)'!B13/'IS (real)'!B12</f>
        <v>0.18238993710691823</v>
      </c>
      <c r="C12" s="25">
        <f>'IS (real)'!C13/'IS (real)'!C12</f>
        <v>0.14925373134328357</v>
      </c>
      <c r="D12" s="25">
        <f>'IS (real)'!D13/'IS (real)'!D12</f>
        <v>0.17142857142857143</v>
      </c>
      <c r="E12" s="25">
        <f t="shared" ref="E12:I12" si="3">AVERAGE($B12:$D12)</f>
        <v>0.16769074662625774</v>
      </c>
      <c r="F12" s="25">
        <f t="shared" si="2"/>
        <v>0.16769074662625774</v>
      </c>
      <c r="G12" s="25">
        <f t="shared" si="2"/>
        <v>0.16769074662625774</v>
      </c>
      <c r="H12" s="25">
        <f t="shared" si="2"/>
        <v>0.16769074662625774</v>
      </c>
      <c r="I12" s="25">
        <f t="shared" si="2"/>
        <v>0.16769074662625774</v>
      </c>
    </row>
    <row r="13" spans="1:9" x14ac:dyDescent="0.25">
      <c r="A13" s="3" t="s">
        <v>116</v>
      </c>
      <c r="B13" s="14"/>
      <c r="C13" s="14"/>
      <c r="D13" s="14"/>
      <c r="E13" s="14"/>
      <c r="F13" s="14"/>
      <c r="G13" s="14"/>
      <c r="H13" s="14"/>
      <c r="I13" s="14"/>
    </row>
    <row r="14" spans="1:9" x14ac:dyDescent="0.25">
      <c r="A14" s="15" t="s">
        <v>117</v>
      </c>
      <c r="B14" s="14">
        <f>'IS (real)'!B16/'IS (real)'!B3</f>
        <v>1.3725911318507526E-2</v>
      </c>
      <c r="C14" s="14">
        <f>'IS (real)'!C16/'IS (real)'!C3</f>
        <v>1.5497838869202913E-2</v>
      </c>
      <c r="D14" s="14">
        <f>'IS (real)'!D16/'IS (real)'!D3</f>
        <v>1.6735407804098556E-2</v>
      </c>
      <c r="E14" s="14">
        <f>AVERAGE($B14:$D14)</f>
        <v>1.5319719330602999E-2</v>
      </c>
      <c r="F14" s="14">
        <f t="shared" ref="F14:I15" si="4">AVERAGE($B14:$D14)</f>
        <v>1.5319719330602999E-2</v>
      </c>
      <c r="G14" s="14">
        <f t="shared" si="4"/>
        <v>1.5319719330602999E-2</v>
      </c>
      <c r="H14" s="14">
        <f t="shared" si="4"/>
        <v>1.5319719330602999E-2</v>
      </c>
      <c r="I14" s="14">
        <f t="shared" si="4"/>
        <v>1.5319719330602999E-2</v>
      </c>
    </row>
    <row r="15" spans="1:9" x14ac:dyDescent="0.25">
      <c r="A15" s="24" t="s">
        <v>118</v>
      </c>
      <c r="B15" s="25">
        <f>'CFS (real)'!B19/'IS (real)'!B3</f>
        <v>-1.8919499384969833E-2</v>
      </c>
      <c r="C15" s="25">
        <f>'CFS (real)'!C19/'IS (real)'!C3</f>
        <v>-1.5809353218332621E-2</v>
      </c>
      <c r="D15" s="25">
        <f>'CFS (real)'!D19/'IS (real)'!D3</f>
        <v>-9.2854520719514565E-3</v>
      </c>
      <c r="E15" s="25">
        <f t="shared" ref="E15:I15" si="5">AVERAGE($B15:$D15)</f>
        <v>-1.4671434891751304E-2</v>
      </c>
      <c r="F15" s="25">
        <f t="shared" si="4"/>
        <v>-1.4671434891751304E-2</v>
      </c>
      <c r="G15" s="25">
        <f t="shared" si="4"/>
        <v>-1.4671434891751304E-2</v>
      </c>
      <c r="H15" s="25">
        <f t="shared" si="4"/>
        <v>-1.4671434891751304E-2</v>
      </c>
      <c r="I15" s="25">
        <f t="shared" si="4"/>
        <v>-1.4671434891751304E-2</v>
      </c>
    </row>
    <row r="16" spans="1:9" x14ac:dyDescent="0.25">
      <c r="A16" s="23" t="s">
        <v>119</v>
      </c>
      <c r="B16" s="14"/>
      <c r="C16" s="14"/>
      <c r="D16" s="14"/>
      <c r="E16" s="14"/>
      <c r="F16" s="14"/>
      <c r="G16" s="14"/>
      <c r="H16" s="14"/>
      <c r="I16" s="14"/>
    </row>
    <row r="17" spans="1:9" x14ac:dyDescent="0.25">
      <c r="A17" s="15" t="s">
        <v>120</v>
      </c>
      <c r="B17" s="14"/>
      <c r="C17" s="14">
        <f>'BS (real)'!B6/'IS (real)'!B3</f>
        <v>8.6436144248979829E-2</v>
      </c>
      <c r="D17" s="14">
        <f>'BS (real)'!C6/'IS (real)'!C3</f>
        <v>9.1838324052801679E-2</v>
      </c>
      <c r="E17" s="14">
        <f>AVERAGE($C17:$D17)</f>
        <v>8.9137234150890754E-2</v>
      </c>
      <c r="F17" s="14">
        <f t="shared" ref="F17:I19" si="6">AVERAGE($C17:$D17)</f>
        <v>8.9137234150890754E-2</v>
      </c>
      <c r="G17" s="14">
        <f t="shared" si="6"/>
        <v>8.9137234150890754E-2</v>
      </c>
      <c r="H17" s="14">
        <f t="shared" si="6"/>
        <v>8.9137234150890754E-2</v>
      </c>
      <c r="I17" s="14">
        <f t="shared" si="6"/>
        <v>8.9137234150890754E-2</v>
      </c>
    </row>
    <row r="18" spans="1:9" x14ac:dyDescent="0.25">
      <c r="A18" s="15" t="s">
        <v>121</v>
      </c>
      <c r="B18" s="14"/>
      <c r="C18" s="14">
        <f>'BS (real)'!B7/'IS (real)'!B3</f>
        <v>0.14680672432981237</v>
      </c>
      <c r="D18" s="14">
        <f>'BS (real)'!C7/'IS (real)'!C3</f>
        <v>0.14580818503952339</v>
      </c>
      <c r="E18" s="14">
        <f t="shared" ref="E18:I19" si="7">AVERAGE($C18:$D18)</f>
        <v>0.14630745468466788</v>
      </c>
      <c r="F18" s="14">
        <f t="shared" si="6"/>
        <v>0.14630745468466788</v>
      </c>
      <c r="G18" s="14">
        <f t="shared" si="6"/>
        <v>0.14630745468466788</v>
      </c>
      <c r="H18" s="14">
        <f t="shared" si="6"/>
        <v>0.14630745468466788</v>
      </c>
      <c r="I18" s="14">
        <f t="shared" si="6"/>
        <v>0.14630745468466788</v>
      </c>
    </row>
    <row r="19" spans="1:9" x14ac:dyDescent="0.25">
      <c r="A19" s="15" t="s">
        <v>122</v>
      </c>
      <c r="B19" s="14"/>
      <c r="C19" s="14">
        <f>'BS (real)'!B19/'IS (real)'!C3</f>
        <v>5.550796308554963E-2</v>
      </c>
      <c r="D19" s="14">
        <f>'BS (real)'!C19/'IS (real)'!D3</f>
        <v>7.5125785484463067E-2</v>
      </c>
      <c r="E19" s="14">
        <f t="shared" si="7"/>
        <v>6.5316874285006349E-2</v>
      </c>
      <c r="F19" s="14">
        <f t="shared" si="6"/>
        <v>6.5316874285006349E-2</v>
      </c>
      <c r="G19" s="14">
        <f t="shared" si="6"/>
        <v>6.5316874285006349E-2</v>
      </c>
      <c r="H19" s="14">
        <f t="shared" si="6"/>
        <v>6.5316874285006349E-2</v>
      </c>
      <c r="I19" s="14">
        <f t="shared" si="6"/>
        <v>6.5316874285006349E-2</v>
      </c>
    </row>
  </sheetData>
  <conditionalFormatting sqref="A3:I19">
    <cfRule type="expression" dxfId="0" priority="1">
      <formula>MOD(ROW(),2) = 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7453-0522-4297-B06F-2342C980D708}">
  <dimension ref="B2:C6"/>
  <sheetViews>
    <sheetView showGridLines="0" workbookViewId="0">
      <selection activeCell="B17" sqref="B17"/>
    </sheetView>
  </sheetViews>
  <sheetFormatPr defaultRowHeight="15" x14ac:dyDescent="0.25"/>
  <cols>
    <col min="2" max="2" width="36" bestFit="1" customWidth="1"/>
    <col min="3" max="3" width="122.42578125" bestFit="1" customWidth="1"/>
  </cols>
  <sheetData>
    <row r="2" spans="2:3" x14ac:dyDescent="0.25">
      <c r="B2" s="28" t="s">
        <v>125</v>
      </c>
      <c r="C2" s="27" t="s">
        <v>124</v>
      </c>
    </row>
    <row r="3" spans="2:3" x14ac:dyDescent="0.25">
      <c r="B3" s="29" t="s">
        <v>126</v>
      </c>
      <c r="C3" s="29" t="s">
        <v>131</v>
      </c>
    </row>
    <row r="4" spans="2:3" x14ac:dyDescent="0.25">
      <c r="B4" s="30" t="s">
        <v>127</v>
      </c>
      <c r="C4" s="30" t="s">
        <v>130</v>
      </c>
    </row>
    <row r="5" spans="2:3" x14ac:dyDescent="0.25">
      <c r="B5" s="30" t="s">
        <v>128</v>
      </c>
      <c r="C5" s="30" t="s">
        <v>132</v>
      </c>
    </row>
    <row r="6" spans="2:3" x14ac:dyDescent="0.25">
      <c r="B6" s="31" t="s">
        <v>129</v>
      </c>
      <c r="C6" s="3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IS (real)</vt:lpstr>
      <vt:lpstr>BS (real)</vt:lpstr>
      <vt:lpstr>CFS (real)</vt:lpstr>
      <vt:lpstr>Assumptions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Feloiu</dc:creator>
  <cp:lastModifiedBy>Gabriel Feloiu</cp:lastModifiedBy>
  <dcterms:created xsi:type="dcterms:W3CDTF">2015-06-05T18:17:20Z</dcterms:created>
  <dcterms:modified xsi:type="dcterms:W3CDTF">2026-06-26T21:29:24Z</dcterms:modified>
</cp:coreProperties>
</file>